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ki/Desktop/"/>
    </mc:Choice>
  </mc:AlternateContent>
  <xr:revisionPtr revIDLastSave="0" documentId="8_{9B10520C-20AF-E04C-9ED0-FBD1114E34ED}" xr6:coauthVersionLast="47" xr6:coauthVersionMax="47" xr10:uidLastSave="{00000000-0000-0000-0000-000000000000}"/>
  <bookViews>
    <workbookView xWindow="-20" yWindow="500" windowWidth="40960" windowHeight="22540" xr2:uid="{D56AC15B-1356-124B-9D13-1F01AE7E3D46}"/>
  </bookViews>
  <sheets>
    <sheet name="Sheet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7" i="1" l="1"/>
  <c r="H66" i="1"/>
  <c r="H65" i="1"/>
  <c r="H64" i="1"/>
  <c r="H63" i="1"/>
  <c r="H62" i="1"/>
  <c r="H61" i="1"/>
  <c r="H60" i="1"/>
  <c r="K60" i="1" s="1"/>
  <c r="H59" i="1"/>
  <c r="K59" i="1" s="1"/>
  <c r="H58" i="1"/>
  <c r="K58" i="1" s="1"/>
  <c r="H57" i="1"/>
  <c r="K57" i="1" s="1"/>
  <c r="H56" i="1"/>
  <c r="K56" i="1" s="1"/>
  <c r="H55" i="1"/>
  <c r="K55" i="1" s="1"/>
  <c r="H54" i="1"/>
  <c r="K54" i="1" s="1"/>
  <c r="H53" i="1"/>
  <c r="K53" i="1" s="1"/>
  <c r="H52" i="1"/>
  <c r="K52" i="1" s="1"/>
  <c r="H51" i="1"/>
  <c r="H50" i="1"/>
  <c r="K51" i="1"/>
  <c r="K50" i="1"/>
  <c r="H49" i="1"/>
  <c r="K49" i="1" s="1"/>
  <c r="H48" i="1"/>
  <c r="K48" i="1" s="1"/>
  <c r="H47" i="1"/>
  <c r="K47" i="1" s="1"/>
  <c r="H46" i="1"/>
  <c r="K46" i="1" s="1"/>
  <c r="H45" i="1"/>
  <c r="H44" i="1"/>
  <c r="H43" i="1"/>
  <c r="H42" i="1"/>
  <c r="H41" i="1"/>
  <c r="H40" i="1"/>
  <c r="H39" i="1"/>
  <c r="H38" i="1"/>
  <c r="H37" i="1"/>
  <c r="H36" i="1"/>
  <c r="H35" i="1"/>
  <c r="H34" i="1"/>
  <c r="K34" i="1" s="1"/>
  <c r="H33" i="1"/>
  <c r="K33" i="1" s="1"/>
  <c r="H32" i="1"/>
  <c r="K32" i="1" s="1"/>
  <c r="H31" i="1"/>
  <c r="K31" i="1" s="1"/>
  <c r="H30" i="1"/>
  <c r="H29" i="1"/>
  <c r="K29" i="1" s="1"/>
  <c r="H28" i="1"/>
  <c r="K28" i="1" s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67" i="1"/>
  <c r="S66" i="1"/>
  <c r="S65" i="1"/>
  <c r="S64" i="1"/>
  <c r="S63" i="1"/>
  <c r="S62" i="1"/>
  <c r="S59" i="1"/>
  <c r="S60" i="1"/>
  <c r="S61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I67" i="1"/>
  <c r="M67" i="1" s="1"/>
  <c r="K67" i="1"/>
  <c r="E67" i="1"/>
  <c r="I66" i="1"/>
  <c r="M66" i="1" s="1"/>
  <c r="K66" i="1"/>
  <c r="E66" i="1"/>
  <c r="I65" i="1"/>
  <c r="M65" i="1" s="1"/>
  <c r="K65" i="1"/>
  <c r="E65" i="1"/>
  <c r="I64" i="1"/>
  <c r="M64" i="1" s="1"/>
  <c r="K64" i="1"/>
  <c r="E64" i="1"/>
  <c r="I63" i="1"/>
  <c r="M63" i="1" s="1"/>
  <c r="K63" i="1"/>
  <c r="E63" i="1"/>
  <c r="I62" i="1"/>
  <c r="M62" i="1" s="1"/>
  <c r="K62" i="1"/>
  <c r="E62" i="1"/>
  <c r="I61" i="1"/>
  <c r="M61" i="1" s="1"/>
  <c r="Q61" i="1" s="1"/>
  <c r="K61" i="1"/>
  <c r="E61" i="1"/>
  <c r="I60" i="1"/>
  <c r="M60" i="1" s="1"/>
  <c r="E60" i="1"/>
  <c r="I59" i="1"/>
  <c r="M59" i="1" s="1"/>
  <c r="E59" i="1"/>
  <c r="I58" i="1"/>
  <c r="M58" i="1" s="1"/>
  <c r="E58" i="1"/>
  <c r="I57" i="1"/>
  <c r="M57" i="1" s="1"/>
  <c r="E57" i="1"/>
  <c r="I56" i="1"/>
  <c r="M56" i="1" s="1"/>
  <c r="E56" i="1"/>
  <c r="I55" i="1"/>
  <c r="M55" i="1" s="1"/>
  <c r="E55" i="1"/>
  <c r="I54" i="1"/>
  <c r="M54" i="1" s="1"/>
  <c r="E54" i="1"/>
  <c r="I53" i="1"/>
  <c r="M53" i="1" s="1"/>
  <c r="O53" i="1" s="1"/>
  <c r="E53" i="1"/>
  <c r="I52" i="1"/>
  <c r="M52" i="1" s="1"/>
  <c r="E52" i="1"/>
  <c r="I51" i="1"/>
  <c r="M51" i="1" s="1"/>
  <c r="E51" i="1"/>
  <c r="I50" i="1"/>
  <c r="M50" i="1" s="1"/>
  <c r="E50" i="1"/>
  <c r="I49" i="1"/>
  <c r="M49" i="1" s="1"/>
  <c r="E49" i="1"/>
  <c r="I48" i="1"/>
  <c r="M48" i="1" s="1"/>
  <c r="E48" i="1"/>
  <c r="I47" i="1"/>
  <c r="M47" i="1" s="1"/>
  <c r="E47" i="1"/>
  <c r="I46" i="1"/>
  <c r="M46" i="1" s="1"/>
  <c r="E46" i="1"/>
  <c r="M45" i="1"/>
  <c r="P45" i="1" s="1"/>
  <c r="I45" i="1"/>
  <c r="K45" i="1"/>
  <c r="E45" i="1"/>
  <c r="I44" i="1"/>
  <c r="M44" i="1" s="1"/>
  <c r="K44" i="1"/>
  <c r="E44" i="1"/>
  <c r="I43" i="1"/>
  <c r="M43" i="1" s="1"/>
  <c r="K43" i="1"/>
  <c r="E43" i="1"/>
  <c r="I42" i="1"/>
  <c r="M42" i="1" s="1"/>
  <c r="K42" i="1"/>
  <c r="E42" i="1"/>
  <c r="I41" i="1"/>
  <c r="M41" i="1" s="1"/>
  <c r="K41" i="1"/>
  <c r="E41" i="1"/>
  <c r="I40" i="1"/>
  <c r="M40" i="1" s="1"/>
  <c r="K40" i="1"/>
  <c r="E40" i="1"/>
  <c r="I39" i="1"/>
  <c r="M39" i="1" s="1"/>
  <c r="K39" i="1"/>
  <c r="E39" i="1"/>
  <c r="I38" i="1"/>
  <c r="M38" i="1" s="1"/>
  <c r="K38" i="1"/>
  <c r="E38" i="1"/>
  <c r="I37" i="1"/>
  <c r="M37" i="1" s="1"/>
  <c r="K37" i="1"/>
  <c r="E37" i="1"/>
  <c r="I36" i="1"/>
  <c r="M36" i="1" s="1"/>
  <c r="K36" i="1"/>
  <c r="E36" i="1"/>
  <c r="I35" i="1"/>
  <c r="M35" i="1" s="1"/>
  <c r="K35" i="1"/>
  <c r="E35" i="1"/>
  <c r="I34" i="1"/>
  <c r="M34" i="1" s="1"/>
  <c r="E34" i="1"/>
  <c r="I33" i="1"/>
  <c r="M33" i="1" s="1"/>
  <c r="E33" i="1"/>
  <c r="I32" i="1"/>
  <c r="M32" i="1" s="1"/>
  <c r="E32" i="1"/>
  <c r="I31" i="1"/>
  <c r="M31" i="1" s="1"/>
  <c r="E31" i="1"/>
  <c r="I30" i="1"/>
  <c r="M30" i="1" s="1"/>
  <c r="K30" i="1"/>
  <c r="E30" i="1"/>
  <c r="I29" i="1"/>
  <c r="M29" i="1" s="1"/>
  <c r="E29" i="1"/>
  <c r="I28" i="1"/>
  <c r="M28" i="1" s="1"/>
  <c r="E28" i="1"/>
  <c r="I27" i="1"/>
  <c r="M27" i="1" s="1"/>
  <c r="K27" i="1"/>
  <c r="E27" i="1"/>
  <c r="I26" i="1"/>
  <c r="M26" i="1" s="1"/>
  <c r="K26" i="1"/>
  <c r="E26" i="1"/>
  <c r="I25" i="1"/>
  <c r="M25" i="1" s="1"/>
  <c r="K25" i="1"/>
  <c r="E25" i="1"/>
  <c r="I24" i="1"/>
  <c r="M24" i="1" s="1"/>
  <c r="K24" i="1"/>
  <c r="E24" i="1"/>
  <c r="I23" i="1"/>
  <c r="M23" i="1" s="1"/>
  <c r="K23" i="1"/>
  <c r="E23" i="1"/>
  <c r="I22" i="1"/>
  <c r="M22" i="1" s="1"/>
  <c r="K22" i="1"/>
  <c r="E22" i="1"/>
  <c r="I21" i="1"/>
  <c r="M21" i="1" s="1"/>
  <c r="K21" i="1"/>
  <c r="E21" i="1"/>
  <c r="I20" i="1"/>
  <c r="M20" i="1" s="1"/>
  <c r="K20" i="1"/>
  <c r="E20" i="1"/>
  <c r="I19" i="1"/>
  <c r="M19" i="1" s="1"/>
  <c r="K19" i="1"/>
  <c r="E19" i="1"/>
  <c r="I18" i="1"/>
  <c r="M18" i="1" s="1"/>
  <c r="K18" i="1"/>
  <c r="E18" i="1"/>
  <c r="I17" i="1"/>
  <c r="M17" i="1" s="1"/>
  <c r="K17" i="1"/>
  <c r="E17" i="1"/>
  <c r="I16" i="1"/>
  <c r="M16" i="1" s="1"/>
  <c r="K16" i="1"/>
  <c r="E16" i="1"/>
  <c r="I15" i="1"/>
  <c r="M15" i="1" s="1"/>
  <c r="K15" i="1"/>
  <c r="E15" i="1"/>
  <c r="I14" i="1"/>
  <c r="M14" i="1" s="1"/>
  <c r="K14" i="1"/>
  <c r="E14" i="1"/>
  <c r="K13" i="1"/>
  <c r="E13" i="1"/>
  <c r="K12" i="1"/>
  <c r="E12" i="1"/>
  <c r="K11" i="1"/>
  <c r="E11" i="1"/>
  <c r="I11" i="1" s="1"/>
  <c r="M11" i="1" s="1"/>
  <c r="K10" i="1"/>
  <c r="E10" i="1"/>
  <c r="K9" i="1"/>
  <c r="E9" i="1"/>
  <c r="K8" i="1"/>
  <c r="E8" i="1"/>
  <c r="K7" i="1"/>
  <c r="E7" i="1"/>
  <c r="K6" i="1"/>
  <c r="E6" i="1"/>
  <c r="K5" i="1"/>
  <c r="E5" i="1"/>
  <c r="I5" i="1" s="1"/>
  <c r="M5" i="1" s="1"/>
  <c r="K4" i="1"/>
  <c r="E4" i="1"/>
  <c r="K3" i="1"/>
  <c r="E3" i="1"/>
  <c r="H2" i="1"/>
  <c r="K2" i="1" s="1"/>
  <c r="E2" i="1"/>
  <c r="I2" i="1" s="1"/>
  <c r="M2" i="1" s="1"/>
  <c r="F6" i="1" a="1"/>
  <c r="F61" i="1" a="1"/>
  <c r="F33" i="1" a="1"/>
  <c r="F25" i="1" a="1"/>
  <c r="F57" i="1" a="1"/>
  <c r="F16" i="1" a="1"/>
  <c r="F64" i="1" a="1"/>
  <c r="F27" i="1" a="1"/>
  <c r="F44" i="1" a="1"/>
  <c r="F56" i="1" a="1"/>
  <c r="F42" i="1" a="1"/>
  <c r="F54" i="1" a="1"/>
  <c r="F3" i="1" a="1"/>
  <c r="F53" i="1" a="1"/>
  <c r="F36" i="1" a="1"/>
  <c r="F23" i="1" a="1"/>
  <c r="F15" i="1" a="1"/>
  <c r="F19" i="1" a="1"/>
  <c r="F13" i="1" a="1"/>
  <c r="F11" i="1" a="1"/>
  <c r="F41" i="1" a="1"/>
  <c r="F20" i="1" a="1"/>
  <c r="F63" i="1" a="1"/>
  <c r="F45" i="1" a="1"/>
  <c r="F32" i="1" a="1"/>
  <c r="F37" i="1" a="1"/>
  <c r="F51" i="1" a="1"/>
  <c r="F5" i="1" a="1"/>
  <c r="F49" i="1" a="1"/>
  <c r="F55" i="1" a="1"/>
  <c r="F40" i="1" a="1"/>
  <c r="F34" i="1" a="1"/>
  <c r="F18" i="1" a="1"/>
  <c r="F35" i="1" a="1"/>
  <c r="F26" i="1" a="1"/>
  <c r="F28" i="1" a="1"/>
  <c r="F22" i="1" a="1"/>
  <c r="F47" i="1" a="1"/>
  <c r="F39" i="1" a="1"/>
  <c r="F48" i="1" a="1"/>
  <c r="F38" i="1" a="1"/>
  <c r="F17" i="1" a="1"/>
  <c r="F59" i="1" a="1"/>
  <c r="F43" i="1" a="1"/>
  <c r="F62" i="1" a="1"/>
  <c r="F30" i="1" a="1"/>
  <c r="F12" i="1" a="1"/>
  <c r="F60" i="1" a="1"/>
  <c r="F46" i="1" a="1"/>
  <c r="F29" i="1" a="1"/>
  <c r="F10" i="1" a="1"/>
  <c r="F66" i="1" a="1"/>
  <c r="F31" i="1" a="1"/>
  <c r="F9" i="1" a="1"/>
  <c r="F58" i="1" a="1"/>
  <c r="F21" i="1" a="1"/>
  <c r="F65" i="1" a="1"/>
  <c r="F52" i="1" a="1"/>
  <c r="F8" i="1" a="1"/>
  <c r="F2" i="1" a="1"/>
  <c r="F4" i="1" a="1"/>
  <c r="F7" i="1" a="1"/>
  <c r="F50" i="1" a="1"/>
  <c r="F67" i="1" a="1"/>
  <c r="F24" i="1" a="1"/>
  <c r="F14" i="1" a="1"/>
  <c r="F9" i="1" l="1"/>
  <c r="F10" i="1"/>
  <c r="F8" i="1"/>
  <c r="I8" i="1"/>
  <c r="M8" i="1" s="1"/>
  <c r="O8" i="1" s="1"/>
  <c r="F54" i="1"/>
  <c r="F41" i="1"/>
  <c r="F67" i="1"/>
  <c r="F52" i="1"/>
  <c r="F65" i="1"/>
  <c r="F46" i="1"/>
  <c r="F51" i="1"/>
  <c r="F38" i="1"/>
  <c r="F62" i="1"/>
  <c r="F48" i="1"/>
  <c r="F64" i="1"/>
  <c r="F57" i="1"/>
  <c r="F40" i="1"/>
  <c r="F45" i="1"/>
  <c r="F53" i="1"/>
  <c r="F61" i="1"/>
  <c r="F49" i="1"/>
  <c r="F42" i="1"/>
  <c r="F50" i="1"/>
  <c r="F58" i="1"/>
  <c r="F66" i="1"/>
  <c r="F60" i="1"/>
  <c r="F56" i="1"/>
  <c r="F44" i="1"/>
  <c r="F43" i="1"/>
  <c r="F59" i="1"/>
  <c r="F39" i="1"/>
  <c r="F47" i="1"/>
  <c r="F55" i="1"/>
  <c r="F63" i="1"/>
  <c r="Q43" i="1"/>
  <c r="P43" i="1"/>
  <c r="O43" i="1"/>
  <c r="Q65" i="1"/>
  <c r="P65" i="1"/>
  <c r="O65" i="1"/>
  <c r="Q58" i="1"/>
  <c r="O58" i="1"/>
  <c r="P58" i="1"/>
  <c r="Q59" i="1"/>
  <c r="P59" i="1"/>
  <c r="O59" i="1"/>
  <c r="O40" i="1"/>
  <c r="P40" i="1"/>
  <c r="Q40" i="1"/>
  <c r="Q55" i="1"/>
  <c r="O55" i="1"/>
  <c r="P55" i="1"/>
  <c r="Q46" i="1"/>
  <c r="P46" i="1"/>
  <c r="O46" i="1"/>
  <c r="O63" i="1"/>
  <c r="Q63" i="1"/>
  <c r="P63" i="1"/>
  <c r="O39" i="1"/>
  <c r="Q39" i="1"/>
  <c r="P39" i="1"/>
  <c r="O56" i="1"/>
  <c r="Q56" i="1"/>
  <c r="P56" i="1"/>
  <c r="P38" i="1"/>
  <c r="Q38" i="1"/>
  <c r="O38" i="1"/>
  <c r="P44" i="1"/>
  <c r="Q44" i="1"/>
  <c r="O44" i="1"/>
  <c r="O64" i="1"/>
  <c r="P64" i="1"/>
  <c r="Q64" i="1"/>
  <c r="Q50" i="1"/>
  <c r="P50" i="1"/>
  <c r="O50" i="1"/>
  <c r="Q66" i="1"/>
  <c r="P66" i="1"/>
  <c r="O66" i="1"/>
  <c r="O52" i="1"/>
  <c r="Q52" i="1"/>
  <c r="P52" i="1"/>
  <c r="O48" i="1"/>
  <c r="P48" i="1"/>
  <c r="Q48" i="1"/>
  <c r="O49" i="1"/>
  <c r="Q49" i="1"/>
  <c r="P49" i="1"/>
  <c r="Q54" i="1"/>
  <c r="P54" i="1"/>
  <c r="O54" i="1"/>
  <c r="P60" i="1"/>
  <c r="Q60" i="1"/>
  <c r="O60" i="1"/>
  <c r="P41" i="1"/>
  <c r="O41" i="1"/>
  <c r="Q41" i="1"/>
  <c r="Q51" i="1"/>
  <c r="P51" i="1"/>
  <c r="O51" i="1"/>
  <c r="O42" i="1"/>
  <c r="Q42" i="1"/>
  <c r="P42" i="1"/>
  <c r="Q47" i="1"/>
  <c r="O47" i="1"/>
  <c r="P47" i="1"/>
  <c r="Q57" i="1"/>
  <c r="O57" i="1"/>
  <c r="P57" i="1"/>
  <c r="Q62" i="1"/>
  <c r="P62" i="1"/>
  <c r="O62" i="1"/>
  <c r="Q67" i="1"/>
  <c r="P67" i="1"/>
  <c r="O67" i="1"/>
  <c r="Q45" i="1"/>
  <c r="O61" i="1"/>
  <c r="P53" i="1"/>
  <c r="O45" i="1"/>
  <c r="P61" i="1"/>
  <c r="Q53" i="1"/>
  <c r="F37" i="1"/>
  <c r="F35" i="1"/>
  <c r="F34" i="1"/>
  <c r="F32" i="1"/>
  <c r="F36" i="1"/>
  <c r="F33" i="1"/>
  <c r="O34" i="1"/>
  <c r="P34" i="1"/>
  <c r="Q34" i="1"/>
  <c r="P33" i="1"/>
  <c r="Q33" i="1"/>
  <c r="O33" i="1"/>
  <c r="Q35" i="1"/>
  <c r="P35" i="1"/>
  <c r="O35" i="1"/>
  <c r="Q36" i="1"/>
  <c r="O36" i="1"/>
  <c r="P36" i="1"/>
  <c r="Q32" i="1"/>
  <c r="P32" i="1"/>
  <c r="O32" i="1"/>
  <c r="Q37" i="1"/>
  <c r="P37" i="1"/>
  <c r="O37" i="1"/>
  <c r="F31" i="1"/>
  <c r="F29" i="1"/>
  <c r="F28" i="1"/>
  <c r="F26" i="1"/>
  <c r="F30" i="1"/>
  <c r="F27" i="1"/>
  <c r="P27" i="1"/>
  <c r="O27" i="1"/>
  <c r="Q27" i="1"/>
  <c r="O28" i="1"/>
  <c r="Q28" i="1"/>
  <c r="P28" i="1"/>
  <c r="Q29" i="1"/>
  <c r="P29" i="1"/>
  <c r="O29" i="1"/>
  <c r="P30" i="1"/>
  <c r="O30" i="1"/>
  <c r="Q30" i="1"/>
  <c r="Q26" i="1"/>
  <c r="P26" i="1"/>
  <c r="O26" i="1"/>
  <c r="Q31" i="1"/>
  <c r="P31" i="1"/>
  <c r="O31" i="1"/>
  <c r="F23" i="1"/>
  <c r="F25" i="1"/>
  <c r="F20" i="1"/>
  <c r="F22" i="1"/>
  <c r="F24" i="1"/>
  <c r="F21" i="1"/>
  <c r="P21" i="1"/>
  <c r="O21" i="1"/>
  <c r="Q21" i="1"/>
  <c r="O22" i="1"/>
  <c r="P22" i="1"/>
  <c r="Q22" i="1"/>
  <c r="Q24" i="1"/>
  <c r="P24" i="1"/>
  <c r="O24" i="1"/>
  <c r="Q20" i="1"/>
  <c r="P20" i="1"/>
  <c r="O20" i="1"/>
  <c r="Q23" i="1"/>
  <c r="O23" i="1"/>
  <c r="P23" i="1"/>
  <c r="Q25" i="1"/>
  <c r="P25" i="1"/>
  <c r="O25" i="1"/>
  <c r="F14" i="1"/>
  <c r="F17" i="1"/>
  <c r="F19" i="1"/>
  <c r="F16" i="1"/>
  <c r="F18" i="1"/>
  <c r="F15" i="1"/>
  <c r="Q17" i="1"/>
  <c r="P17" i="1"/>
  <c r="O17" i="1"/>
  <c r="O18" i="1"/>
  <c r="Q18" i="1"/>
  <c r="P18" i="1"/>
  <c r="Q14" i="1"/>
  <c r="P14" i="1"/>
  <c r="O14" i="1"/>
  <c r="P15" i="1"/>
  <c r="Q15" i="1"/>
  <c r="O15" i="1"/>
  <c r="O16" i="1"/>
  <c r="Q16" i="1"/>
  <c r="P16" i="1"/>
  <c r="Q19" i="1"/>
  <c r="P19" i="1"/>
  <c r="O19" i="1"/>
  <c r="F11" i="1"/>
  <c r="F13" i="1"/>
  <c r="F12" i="1"/>
  <c r="O11" i="1"/>
  <c r="Q11" i="1"/>
  <c r="P11" i="1"/>
  <c r="I10" i="1"/>
  <c r="M10" i="1" s="1"/>
  <c r="I9" i="1"/>
  <c r="M9" i="1" s="1"/>
  <c r="F3" i="1"/>
  <c r="F6" i="1"/>
  <c r="F2" i="1"/>
  <c r="F5" i="1"/>
  <c r="F7" i="1"/>
  <c r="F4" i="1"/>
  <c r="Q5" i="1"/>
  <c r="P5" i="1"/>
  <c r="O5" i="1"/>
  <c r="O2" i="1"/>
  <c r="Q2" i="1"/>
  <c r="P2" i="1"/>
  <c r="I13" i="1" l="1"/>
  <c r="M13" i="1" s="1"/>
  <c r="I12" i="1"/>
  <c r="M12" i="1" s="1"/>
  <c r="Q12" i="1" s="1"/>
  <c r="I6" i="1"/>
  <c r="M6" i="1" s="1"/>
  <c r="O6" i="1" s="1"/>
  <c r="I4" i="1"/>
  <c r="M4" i="1" s="1"/>
  <c r="O4" i="1" s="1"/>
  <c r="I7" i="1"/>
  <c r="M7" i="1" s="1"/>
  <c r="Q7" i="1" s="1"/>
  <c r="I3" i="1"/>
  <c r="M3" i="1" s="1"/>
  <c r="O3" i="1" s="1"/>
  <c r="Q8" i="1"/>
  <c r="P8" i="1"/>
  <c r="Q13" i="1"/>
  <c r="P13" i="1"/>
  <c r="O13" i="1"/>
  <c r="Q9" i="1"/>
  <c r="P9" i="1"/>
  <c r="O9" i="1"/>
  <c r="Q10" i="1"/>
  <c r="P10" i="1"/>
  <c r="O10" i="1"/>
  <c r="P4" i="1" l="1"/>
  <c r="Q4" i="1"/>
  <c r="O12" i="1"/>
  <c r="P7" i="1"/>
  <c r="P3" i="1"/>
  <c r="Q3" i="1"/>
  <c r="O7" i="1"/>
  <c r="P6" i="1"/>
  <c r="P12" i="1"/>
  <c r="Q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<sst xmlns="http://schemas.openxmlformats.org/spreadsheetml/2006/main" count="26" uniqueCount="24">
  <si>
    <t>Name</t>
  </si>
  <si>
    <t>#</t>
  </si>
  <si>
    <t>Pass: 0000</t>
  </si>
  <si>
    <t>Ex.</t>
  </si>
  <si>
    <t>mrCntn1</t>
  </si>
  <si>
    <t>TCTGGGTAAATGGTATTGAT</t>
  </si>
  <si>
    <t>ACATAGGCAGTGACCTCTAC</t>
  </si>
  <si>
    <t>TGCATAGCAGAAAACGCGTA</t>
  </si>
  <si>
    <t>Name of #1 oligo</t>
  </si>
  <si>
    <t>Seq of #1 oligo</t>
  </si>
  <si>
    <t>GCATAGCAGAAAACGCGTAT</t>
  </si>
  <si>
    <t>CTACGTGATTGACTTTAACA</t>
  </si>
  <si>
    <t>TCGGATGAGCAGTTCCCCAT</t>
  </si>
  <si>
    <t>INSERT target seq (w/ or w/o PAM)</t>
  </si>
  <si>
    <t>Seq of target site (without PAM)</t>
  </si>
  <si>
    <t>Seq of target site (without PAM) rev-comp</t>
  </si>
  <si>
    <t>For 
ordering -&gt;</t>
  </si>
  <si>
    <t>Oligo Name</t>
  </si>
  <si>
    <t>Sequence</t>
  </si>
  <si>
    <r>
      <t>Scale (</t>
    </r>
    <r>
      <rPr>
        <b/>
        <sz val="10"/>
        <rFont val="Symbol"/>
        <family val="1"/>
        <charset val="2"/>
      </rPr>
      <t>m</t>
    </r>
    <r>
      <rPr>
        <b/>
        <sz val="10"/>
        <rFont val="Arial"/>
        <family val="2"/>
      </rPr>
      <t>mole)</t>
    </r>
  </si>
  <si>
    <t>Purification</t>
  </si>
  <si>
    <t>Format</t>
  </si>
  <si>
    <t>Insertion site of s3g</t>
  </si>
  <si>
    <t>Insert sequence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</si>
</sst>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 applyProtection="1">
      <alignment horizontal="center"/>
    </xf>
    <xf numFmtId="0" fontId="3" fillId="5" borderId="1" xfId="1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 wrapText="1"/>
    </xf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 wrapText="1"/>
    </xf>
    <xf numFmtId="0" fontId="2" fillId="5" borderId="1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79ADE-5D7E-6949-865D-75100D3736BE}">
  <sheetPr codeName="Sheet1"/>
  <dimension ref="A1:T67"/>
  <sheetViews>
    <sheetView tabSelected="1" workbookViewId="0">
      <selection activeCell="M12" sqref="M12"/>
    </sheetView>
  </sheetViews>
  <sheetFormatPr baseColWidth="10" defaultColWidth="25.33203125" defaultRowHeight="16" x14ac:dyDescent="0.2"/>
  <cols>
    <col min="1" max="1" width="3.5" style="1" bestFit="1" customWidth="1"/>
    <col min="2" max="2" width="8.1640625" style="1" bestFit="1" customWidth="1"/>
    <col min="3" max="3" width="2.1640625" style="1" bestFit="1" customWidth="1"/>
    <col min="4" max="4" width="33.33203125" style="1" customWidth="1"/>
    <col min="5" max="5" width="30.83203125" style="1" hidden="1" customWidth="1"/>
    <col min="6" max="6" width="39.33203125" style="1" hidden="1" customWidth="1"/>
    <col min="7" max="7" width="10.1640625" style="1" hidden="1" customWidth="1"/>
    <col min="8" max="8" width="15.33203125" style="1" hidden="1" customWidth="1"/>
    <col min="9" max="9" width="61.5" style="1" hidden="1" customWidth="1"/>
    <col min="10" max="10" width="9.83203125" style="1" bestFit="1" customWidth="1"/>
    <col min="11" max="11" width="16.6640625" style="1" customWidth="1"/>
    <col min="12" max="12" width="0.83203125" style="1" customWidth="1"/>
    <col min="13" max="13" width="59.83203125" style="1" customWidth="1"/>
    <col min="14" max="14" width="0.83203125" style="1" customWidth="1"/>
    <col min="15" max="15" width="12.33203125" style="1" bestFit="1" customWidth="1"/>
    <col min="16" max="16" width="10.5" style="1" bestFit="1" customWidth="1"/>
    <col min="17" max="17" width="10.33203125" style="1" bestFit="1" customWidth="1"/>
    <col min="18" max="18" width="4" style="1" customWidth="1"/>
    <col min="19" max="19" width="17.5" style="1" bestFit="1" customWidth="1"/>
    <col min="20" max="16384" width="25.33203125" style="1"/>
  </cols>
  <sheetData>
    <row r="1" spans="1:20" ht="16" customHeight="1" thickBot="1" x14ac:dyDescent="0.25">
      <c r="A1" s="4"/>
      <c r="B1" s="5" t="s">
        <v>0</v>
      </c>
      <c r="C1" s="5" t="s">
        <v>1</v>
      </c>
      <c r="D1" s="5" t="s">
        <v>13</v>
      </c>
      <c r="E1" s="5" t="s">
        <v>14</v>
      </c>
      <c r="F1" s="5" t="s">
        <v>15</v>
      </c>
      <c r="G1" s="6" t="s">
        <v>16</v>
      </c>
      <c r="H1" s="7" t="s">
        <v>8</v>
      </c>
      <c r="I1" s="7" t="s">
        <v>9</v>
      </c>
      <c r="J1" s="8" t="s">
        <v>2</v>
      </c>
      <c r="K1" s="9" t="s">
        <v>17</v>
      </c>
      <c r="L1" s="2"/>
      <c r="M1" s="9" t="s">
        <v>18</v>
      </c>
      <c r="N1" s="2"/>
      <c r="O1" s="10" t="s">
        <v>19</v>
      </c>
      <c r="P1" s="10" t="s">
        <v>20</v>
      </c>
      <c r="Q1" s="9" t="s">
        <v>21</v>
      </c>
      <c r="S1" s="1" t="s">
        <v>22</v>
      </c>
      <c r="T1" s="26" t="s">
        <v>23</v>
      </c>
    </row>
    <row r="2" spans="1:20" x14ac:dyDescent="0.2">
      <c r="A2" s="27" t="s">
        <v>3</v>
      </c>
      <c r="B2" s="30" t="s">
        <v>4</v>
      </c>
      <c r="C2" s="11">
        <v>1</v>
      </c>
      <c r="D2" s="11" t="s">
        <v>5</v>
      </c>
      <c r="E2" s="11" t="str">
        <f t="shared" ref="E2:E7" si="0">UPPER(LEFT(D2,20))</f>
        <v>TCTGGGTAAATGGTATTGAT</v>
      </c>
      <c r="F2" s="11" t="str" cm="1">
        <f t="array" ref="F2">revcomp(E2)</f>
        <v>ATCAATACCATTTACCCAGA</v>
      </c>
      <c r="G2" s="11"/>
      <c r="H2" s="11" t="str">
        <f>IF(B2="","",B2&amp;"_KO"&amp;C2&amp;"F")</f>
        <v>mrCntn1_KO1F</v>
      </c>
      <c r="I2" s="12" t="str">
        <f>IF(D2="","","agaggccatgtttatg"&amp;E2&amp;"gtttaagagctaagctggaaacag")</f>
        <v>agaggccatgtttatgTCTGGGTAAATGGTATTGATgtttaagagctaagctggaaacag</v>
      </c>
      <c r="J2" s="8"/>
      <c r="K2" s="13" t="str">
        <f>IF(H2="","",H2)</f>
        <v>mrCntn1_KO1F</v>
      </c>
      <c r="L2" s="13"/>
      <c r="M2" s="13" t="str">
        <f>IF(I2="","",I2)</f>
        <v>agaggccatgtttatgTCTGGGTAAATGGTATTGATgtttaagagctaagctggaaacag</v>
      </c>
      <c r="N2" s="13"/>
      <c r="O2" s="13" t="str">
        <f>IF(M2="","","0.025")</f>
        <v>0.025</v>
      </c>
      <c r="P2" s="13" t="str">
        <f>IF(M2="","","Desalt")</f>
        <v>Desalt</v>
      </c>
      <c r="Q2" s="13" t="str">
        <f>IF(M2="","","Dry")</f>
        <v>Dry</v>
      </c>
      <c r="S2" s="22" t="str">
        <f>IF(D2="","","#1")</f>
        <v>#1</v>
      </c>
      <c r="T2" s="22" t="str">
        <f>IF(E2="","",E2)</f>
        <v>TCTGGGTAAATGGTATTGAT</v>
      </c>
    </row>
    <row r="3" spans="1:20" x14ac:dyDescent="0.2">
      <c r="A3" s="28"/>
      <c r="B3" s="31"/>
      <c r="C3" s="13">
        <v>2</v>
      </c>
      <c r="D3" s="13" t="s">
        <v>6</v>
      </c>
      <c r="E3" s="13" t="str">
        <f t="shared" si="0"/>
        <v>ACATAGGCAGTGACCTCTAC</v>
      </c>
      <c r="F3" s="13" t="str" cm="1">
        <f t="array" ref="F3">revcomp(E3)</f>
        <v>GTAGAGGTCACTGCCTATGT</v>
      </c>
      <c r="G3" s="13"/>
      <c r="H3" s="13" t="str">
        <f>IF(B2="","",B2&amp;"_KO"&amp;C3&amp;"R")</f>
        <v>mrCntn1_KO2R</v>
      </c>
      <c r="I3" s="14" t="str">
        <f>IF(D3="","","tgcttagctctcaaac"&amp;F3&amp;"caacaaggtggttctccaaggg")</f>
        <v>tgcttagctctcaaacGTAGAGGTCACTGCCTATGTcaacaaggtggttctccaaggg</v>
      </c>
      <c r="J3" s="8"/>
      <c r="K3" s="13" t="str">
        <f t="shared" ref="K3:K7" si="1">IF(H3="","",H3)</f>
        <v>mrCntn1_KO2R</v>
      </c>
      <c r="L3" s="13"/>
      <c r="M3" s="13" t="str">
        <f t="shared" ref="M3:M7" si="2">IF(I3="","",I3)</f>
        <v>tgcttagctctcaaacGTAGAGGTCACTGCCTATGTcaacaaggtggttctccaaggg</v>
      </c>
      <c r="N3" s="13"/>
      <c r="O3" s="13" t="str">
        <f t="shared" ref="O3:O7" si="3">IF(M3="","","0.025")</f>
        <v>0.025</v>
      </c>
      <c r="P3" s="13" t="str">
        <f t="shared" ref="P3:P7" si="4">IF(M3="","","Desalt")</f>
        <v>Desalt</v>
      </c>
      <c r="Q3" s="13" t="str">
        <f t="shared" ref="Q3:Q7" si="5">IF(M3="","","Dry")</f>
        <v>Dry</v>
      </c>
      <c r="S3" s="22" t="str">
        <f>IF(D3="","","#2")</f>
        <v>#2</v>
      </c>
      <c r="T3" s="22" t="str">
        <f t="shared" ref="T3:T66" si="6">IF(E3="","",E3)</f>
        <v>ACATAGGCAGTGACCTCTAC</v>
      </c>
    </row>
    <row r="4" spans="1:20" ht="17" thickBot="1" x14ac:dyDescent="0.25">
      <c r="A4" s="29"/>
      <c r="B4" s="32"/>
      <c r="C4" s="15">
        <v>3</v>
      </c>
      <c r="D4" s="15" t="s">
        <v>7</v>
      </c>
      <c r="E4" s="15" t="str">
        <f t="shared" si="0"/>
        <v>TGCATAGCAGAAAACGCGTA</v>
      </c>
      <c r="F4" s="15" t="str" cm="1">
        <f t="array" ref="F4">revcomp(E4)</f>
        <v>TACGCGTTTTCTGCTATGCA</v>
      </c>
      <c r="G4" s="15"/>
      <c r="H4" s="15" t="str">
        <f>IF(B2="","",B2&amp;"_KO"&amp;C4&amp;"R")</f>
        <v>mrCntn1_KO3R</v>
      </c>
      <c r="I4" s="16" t="str">
        <f>IF(D4="","","tgcttagctctgaaac"&amp;F4&amp;"catgtttctggctttccacaag")</f>
        <v>tgcttagctctgaaacTACGCGTTTTCTGCTATGCAcatgtttctggctttccacaag</v>
      </c>
      <c r="J4" s="8"/>
      <c r="K4" s="13" t="str">
        <f t="shared" si="1"/>
        <v>mrCntn1_KO3R</v>
      </c>
      <c r="L4" s="13"/>
      <c r="M4" s="13" t="str">
        <f t="shared" si="2"/>
        <v>tgcttagctctgaaacTACGCGTTTTCTGCTATGCAcatgtttctggctttccacaag</v>
      </c>
      <c r="N4" s="13"/>
      <c r="O4" s="13" t="str">
        <f t="shared" si="3"/>
        <v>0.025</v>
      </c>
      <c r="P4" s="13" t="str">
        <f t="shared" si="4"/>
        <v>Desalt</v>
      </c>
      <c r="Q4" s="13" t="str">
        <f t="shared" si="5"/>
        <v>Dry</v>
      </c>
      <c r="S4" s="22" t="str">
        <f>IF(D4="","","#3")</f>
        <v>#3</v>
      </c>
      <c r="T4" s="22" t="str">
        <f t="shared" si="6"/>
        <v>TGCATAGCAGAAAACGCGTA</v>
      </c>
    </row>
    <row r="5" spans="1:20" x14ac:dyDescent="0.2">
      <c r="A5" s="27" t="s">
        <v>3</v>
      </c>
      <c r="B5" s="30" t="s">
        <v>4</v>
      </c>
      <c r="C5" s="11">
        <v>4</v>
      </c>
      <c r="D5" s="11" t="s">
        <v>10</v>
      </c>
      <c r="E5" s="11" t="str">
        <f t="shared" si="0"/>
        <v>GCATAGCAGAAAACGCGTAT</v>
      </c>
      <c r="F5" s="11" t="str" cm="1">
        <f t="array" ref="F5">revcomp(E5)</f>
        <v>ATACGCGTTTTCTGCTATGC</v>
      </c>
      <c r="G5" s="11"/>
      <c r="H5" s="11" t="str">
        <f>IF(B5="","",B5&amp;"_KO"&amp;C5&amp;"F")</f>
        <v>mrCntn1_KO4F</v>
      </c>
      <c r="I5" s="12" t="str">
        <f>IF(D5="","","agaggccatgtttatg"&amp;E5&amp;"gtttaagagctaagctggaaacag")</f>
        <v>agaggccatgtttatgGCATAGCAGAAAACGCGTATgtttaagagctaagctggaaacag</v>
      </c>
      <c r="J5" s="8"/>
      <c r="K5" s="13" t="str">
        <f t="shared" si="1"/>
        <v>mrCntn1_KO4F</v>
      </c>
      <c r="L5" s="13"/>
      <c r="M5" s="13" t="str">
        <f t="shared" si="2"/>
        <v>agaggccatgtttatgGCATAGCAGAAAACGCGTATgtttaagagctaagctggaaacag</v>
      </c>
      <c r="N5" s="13"/>
      <c r="O5" s="13" t="str">
        <f t="shared" si="3"/>
        <v>0.025</v>
      </c>
      <c r="P5" s="13" t="str">
        <f t="shared" si="4"/>
        <v>Desalt</v>
      </c>
      <c r="Q5" s="13" t="str">
        <f t="shared" si="5"/>
        <v>Dry</v>
      </c>
      <c r="S5" s="22" t="str">
        <f>IF(D5="","","#1")</f>
        <v>#1</v>
      </c>
      <c r="T5" s="22" t="str">
        <f t="shared" si="6"/>
        <v>GCATAGCAGAAAACGCGTAT</v>
      </c>
    </row>
    <row r="6" spans="1:20" x14ac:dyDescent="0.2">
      <c r="A6" s="28"/>
      <c r="B6" s="31"/>
      <c r="C6" s="13">
        <v>5</v>
      </c>
      <c r="D6" s="13" t="s">
        <v>11</v>
      </c>
      <c r="E6" s="13" t="str">
        <f t="shared" si="0"/>
        <v>CTACGTGATTGACTTTAACA</v>
      </c>
      <c r="F6" s="13" t="str" cm="1">
        <f t="array" ref="F6">revcomp(E6)</f>
        <v>TGTTAAAGTCAATCACGTAG</v>
      </c>
      <c r="G6" s="13"/>
      <c r="H6" s="13" t="str">
        <f>IF(B5="","",B5&amp;"_KO"&amp;C6&amp;"R")</f>
        <v>mrCntn1_KO5R</v>
      </c>
      <c r="I6" s="14" t="str">
        <f>IF(D6="","","tgcttagctctcaaac"&amp;F6&amp;"caacaaggtggttctccaaggg")</f>
        <v>tgcttagctctcaaacTGTTAAAGTCAATCACGTAGcaacaaggtggttctccaaggg</v>
      </c>
      <c r="J6" s="8"/>
      <c r="K6" s="13" t="str">
        <f t="shared" si="1"/>
        <v>mrCntn1_KO5R</v>
      </c>
      <c r="L6" s="13"/>
      <c r="M6" s="13" t="str">
        <f t="shared" si="2"/>
        <v>tgcttagctctcaaacTGTTAAAGTCAATCACGTAGcaacaaggtggttctccaaggg</v>
      </c>
      <c r="N6" s="13"/>
      <c r="O6" s="13" t="str">
        <f t="shared" si="3"/>
        <v>0.025</v>
      </c>
      <c r="P6" s="13" t="str">
        <f t="shared" si="4"/>
        <v>Desalt</v>
      </c>
      <c r="Q6" s="13" t="str">
        <f t="shared" si="5"/>
        <v>Dry</v>
      </c>
      <c r="S6" s="22" t="str">
        <f>IF(D6="","","#2")</f>
        <v>#2</v>
      </c>
      <c r="T6" s="22" t="str">
        <f t="shared" si="6"/>
        <v>CTACGTGATTGACTTTAACA</v>
      </c>
    </row>
    <row r="7" spans="1:20" ht="17" thickBot="1" x14ac:dyDescent="0.25">
      <c r="A7" s="29"/>
      <c r="B7" s="32"/>
      <c r="C7" s="15">
        <v>6</v>
      </c>
      <c r="D7" s="15" t="s">
        <v>12</v>
      </c>
      <c r="E7" s="15" t="str">
        <f t="shared" si="0"/>
        <v>TCGGATGAGCAGTTCCCCAT</v>
      </c>
      <c r="F7" s="15" t="str" cm="1">
        <f t="array" ref="F7">revcomp(E7)</f>
        <v>ATGGGGAACTGCTCATCCGA</v>
      </c>
      <c r="G7" s="15"/>
      <c r="H7" s="15" t="str">
        <f>IF(B5="","",B5&amp;"_KO"&amp;C7&amp;"R")</f>
        <v>mrCntn1_KO6R</v>
      </c>
      <c r="I7" s="16" t="str">
        <f>IF(D7="","","tgcttagctctgaaac"&amp;F7&amp;"catgtttctggctttccacaag")</f>
        <v>tgcttagctctgaaacATGGGGAACTGCTCATCCGAcatgtttctggctttccacaag</v>
      </c>
      <c r="J7" s="8"/>
      <c r="K7" s="13" t="str">
        <f t="shared" si="1"/>
        <v>mrCntn1_KO6R</v>
      </c>
      <c r="L7" s="13"/>
      <c r="M7" s="13" t="str">
        <f t="shared" si="2"/>
        <v>tgcttagctctgaaacATGGGGAACTGCTCATCCGAcatgtttctggctttccacaag</v>
      </c>
      <c r="N7" s="13"/>
      <c r="O7" s="13" t="str">
        <f t="shared" si="3"/>
        <v>0.025</v>
      </c>
      <c r="P7" s="13" t="str">
        <f t="shared" si="4"/>
        <v>Desalt</v>
      </c>
      <c r="Q7" s="13" t="str">
        <f t="shared" si="5"/>
        <v>Dry</v>
      </c>
      <c r="S7" s="22" t="str">
        <f>IF(D7="","","#3")</f>
        <v>#3</v>
      </c>
      <c r="T7" s="22" t="str">
        <f t="shared" si="6"/>
        <v>TCGGATGAGCAGTTCCCCAT</v>
      </c>
    </row>
    <row r="8" spans="1:20" x14ac:dyDescent="0.2">
      <c r="A8" s="33">
        <v>1</v>
      </c>
      <c r="B8" s="36"/>
      <c r="C8" s="17">
        <v>1</v>
      </c>
      <c r="D8" s="17"/>
      <c r="E8" s="19" t="str">
        <f t="shared" ref="E8:E13" si="7">UPPER(LEFT(D8,20))</f>
        <v/>
      </c>
      <c r="F8" s="19" t="str" cm="1">
        <f t="array" ref="F8">revcomp(E8)</f>
        <v/>
      </c>
      <c r="G8" s="19"/>
      <c r="H8" s="19" t="str">
        <f>IF(B8="","",B8&amp;"_KO"&amp;C8&amp;"F")</f>
        <v/>
      </c>
      <c r="I8" s="20" t="str">
        <f>IF(D8="","","agaggccatgtttatg"&amp;E8&amp;"gtttaagagctaagctggaaacag")</f>
        <v/>
      </c>
      <c r="J8" s="21"/>
      <c r="K8" s="22" t="str">
        <f t="shared" ref="K8:K13" si="8">IF(H8="","",H8)</f>
        <v/>
      </c>
      <c r="L8" s="22"/>
      <c r="M8" s="22" t="str">
        <f t="shared" ref="M8:M13" si="9">IF(I8="","",I8)</f>
        <v/>
      </c>
      <c r="N8" s="22"/>
      <c r="O8" s="22" t="str">
        <f t="shared" ref="O8:O13" si="10">IF(M8="","","0.025")</f>
        <v/>
      </c>
      <c r="P8" s="22" t="str">
        <f t="shared" ref="P8:P13" si="11">IF(M8="","","Desalt")</f>
        <v/>
      </c>
      <c r="Q8" s="22" t="str">
        <f t="shared" ref="Q8:Q13" si="12">IF(M8="","","Dry")</f>
        <v/>
      </c>
      <c r="S8" s="22" t="str">
        <f>IF(D8="","","#1")</f>
        <v/>
      </c>
      <c r="T8" s="22" t="str">
        <f t="shared" si="6"/>
        <v/>
      </c>
    </row>
    <row r="9" spans="1:20" x14ac:dyDescent="0.2">
      <c r="A9" s="34"/>
      <c r="B9" s="37"/>
      <c r="C9" s="3">
        <v>2</v>
      </c>
      <c r="D9" s="3"/>
      <c r="E9" s="22" t="str">
        <f t="shared" si="7"/>
        <v/>
      </c>
      <c r="F9" s="22" t="str" cm="1">
        <f t="array" ref="F9">revcomp(E9)</f>
        <v/>
      </c>
      <c r="G9" s="22"/>
      <c r="H9" s="22" t="str">
        <f>IF(B8="","",B8&amp;"_KO"&amp;C9&amp;"R")</f>
        <v/>
      </c>
      <c r="I9" s="23" t="str">
        <f>IF(D9="","","tgcttagctctcaaac"&amp;F9&amp;"caacaaggtggttctccaaggg")</f>
        <v/>
      </c>
      <c r="J9" s="21"/>
      <c r="K9" s="22" t="str">
        <f t="shared" si="8"/>
        <v/>
      </c>
      <c r="L9" s="22"/>
      <c r="M9" s="22" t="str">
        <f t="shared" si="9"/>
        <v/>
      </c>
      <c r="N9" s="22"/>
      <c r="O9" s="22" t="str">
        <f t="shared" si="10"/>
        <v/>
      </c>
      <c r="P9" s="22" t="str">
        <f t="shared" si="11"/>
        <v/>
      </c>
      <c r="Q9" s="22" t="str">
        <f t="shared" si="12"/>
        <v/>
      </c>
      <c r="S9" s="22" t="str">
        <f>IF(D9="","","#2")</f>
        <v/>
      </c>
      <c r="T9" s="22" t="str">
        <f t="shared" si="6"/>
        <v/>
      </c>
    </row>
    <row r="10" spans="1:20" ht="17" thickBot="1" x14ac:dyDescent="0.25">
      <c r="A10" s="35"/>
      <c r="B10" s="38"/>
      <c r="C10" s="18">
        <v>3</v>
      </c>
      <c r="D10" s="18"/>
      <c r="E10" s="24" t="str">
        <f t="shared" si="7"/>
        <v/>
      </c>
      <c r="F10" s="24" t="str" cm="1">
        <f t="array" ref="F10">revcomp(E10)</f>
        <v/>
      </c>
      <c r="G10" s="24"/>
      <c r="H10" s="24" t="str">
        <f>IF(B8="","",B8&amp;"_KO"&amp;C10&amp;"R")</f>
        <v/>
      </c>
      <c r="I10" s="25" t="str">
        <f>IF(D10="","","tgcttagctctgaaac"&amp;F10&amp;"catgtttctggctttccacaag")</f>
        <v/>
      </c>
      <c r="J10" s="21"/>
      <c r="K10" s="22" t="str">
        <f t="shared" si="8"/>
        <v/>
      </c>
      <c r="L10" s="22"/>
      <c r="M10" s="22" t="str">
        <f t="shared" si="9"/>
        <v/>
      </c>
      <c r="N10" s="22"/>
      <c r="O10" s="22" t="str">
        <f t="shared" si="10"/>
        <v/>
      </c>
      <c r="P10" s="22" t="str">
        <f t="shared" si="11"/>
        <v/>
      </c>
      <c r="Q10" s="22" t="str">
        <f t="shared" si="12"/>
        <v/>
      </c>
      <c r="S10" s="22" t="str">
        <f>IF(D10="","","#3")</f>
        <v/>
      </c>
      <c r="T10" s="22" t="str">
        <f t="shared" si="6"/>
        <v/>
      </c>
    </row>
    <row r="11" spans="1:20" x14ac:dyDescent="0.2">
      <c r="A11" s="33">
        <v>2</v>
      </c>
      <c r="B11" s="36"/>
      <c r="C11" s="17">
        <v>1</v>
      </c>
      <c r="D11" s="17"/>
      <c r="E11" s="19" t="str">
        <f t="shared" si="7"/>
        <v/>
      </c>
      <c r="F11" s="19" t="str" cm="1">
        <f t="array" ref="F11">revcomp(E11)</f>
        <v/>
      </c>
      <c r="G11" s="19"/>
      <c r="H11" s="19" t="str">
        <f>IF(B11="","",B11&amp;"_KO"&amp;C11&amp;"F")</f>
        <v/>
      </c>
      <c r="I11" s="20" t="str">
        <f>IF(D11="","","agaggccatgtttatg"&amp;E11&amp;"gtttaagagctaagctggaaacag")</f>
        <v/>
      </c>
      <c r="J11" s="21"/>
      <c r="K11" s="22" t="str">
        <f t="shared" si="8"/>
        <v/>
      </c>
      <c r="L11" s="22"/>
      <c r="M11" s="22" t="str">
        <f t="shared" si="9"/>
        <v/>
      </c>
      <c r="N11" s="22"/>
      <c r="O11" s="22" t="str">
        <f t="shared" si="10"/>
        <v/>
      </c>
      <c r="P11" s="22" t="str">
        <f t="shared" si="11"/>
        <v/>
      </c>
      <c r="Q11" s="22" t="str">
        <f t="shared" si="12"/>
        <v/>
      </c>
      <c r="S11" s="22" t="str">
        <f>IF(D11="","","#1")</f>
        <v/>
      </c>
      <c r="T11" s="22" t="str">
        <f t="shared" si="6"/>
        <v/>
      </c>
    </row>
    <row r="12" spans="1:20" x14ac:dyDescent="0.2">
      <c r="A12" s="34"/>
      <c r="B12" s="37"/>
      <c r="C12" s="3">
        <v>2</v>
      </c>
      <c r="D12" s="3"/>
      <c r="E12" s="22" t="str">
        <f t="shared" si="7"/>
        <v/>
      </c>
      <c r="F12" s="22" t="str" cm="1">
        <f t="array" ref="F12">revcomp(E12)</f>
        <v/>
      </c>
      <c r="G12" s="22"/>
      <c r="H12" s="22" t="str">
        <f>IF(B11="","",B11&amp;"_KO"&amp;C12&amp;"R")</f>
        <v/>
      </c>
      <c r="I12" s="23" t="str">
        <f>IF(D12="","","tgcttagctctcaaac"&amp;F12&amp;"caacaaggtggttctccaaggg")</f>
        <v/>
      </c>
      <c r="J12" s="21"/>
      <c r="K12" s="22" t="str">
        <f t="shared" si="8"/>
        <v/>
      </c>
      <c r="L12" s="22"/>
      <c r="M12" s="22" t="str">
        <f t="shared" si="9"/>
        <v/>
      </c>
      <c r="N12" s="22"/>
      <c r="O12" s="22" t="str">
        <f t="shared" si="10"/>
        <v/>
      </c>
      <c r="P12" s="22" t="str">
        <f t="shared" si="11"/>
        <v/>
      </c>
      <c r="Q12" s="22" t="str">
        <f t="shared" si="12"/>
        <v/>
      </c>
      <c r="S12" s="22" t="str">
        <f>IF(D12="","","#2")</f>
        <v/>
      </c>
      <c r="T12" s="22" t="str">
        <f t="shared" si="6"/>
        <v/>
      </c>
    </row>
    <row r="13" spans="1:20" ht="17" thickBot="1" x14ac:dyDescent="0.25">
      <c r="A13" s="35"/>
      <c r="B13" s="38"/>
      <c r="C13" s="18">
        <v>3</v>
      </c>
      <c r="D13" s="18"/>
      <c r="E13" s="24" t="str">
        <f t="shared" si="7"/>
        <v/>
      </c>
      <c r="F13" s="24" t="str" cm="1">
        <f t="array" ref="F13">revcomp(E13)</f>
        <v/>
      </c>
      <c r="G13" s="24"/>
      <c r="H13" s="24" t="str">
        <f>IF(B11="","",B11&amp;"_KO"&amp;C13&amp;"R")</f>
        <v/>
      </c>
      <c r="I13" s="25" t="str">
        <f>IF(D13="","","tgcttagctctgaaac"&amp;F13&amp;"catgtttctggctttccacaag")</f>
        <v/>
      </c>
      <c r="J13" s="21"/>
      <c r="K13" s="22" t="str">
        <f t="shared" si="8"/>
        <v/>
      </c>
      <c r="L13" s="22"/>
      <c r="M13" s="22" t="str">
        <f t="shared" si="9"/>
        <v/>
      </c>
      <c r="N13" s="22"/>
      <c r="O13" s="22" t="str">
        <f t="shared" si="10"/>
        <v/>
      </c>
      <c r="P13" s="22" t="str">
        <f t="shared" si="11"/>
        <v/>
      </c>
      <c r="Q13" s="22" t="str">
        <f t="shared" si="12"/>
        <v/>
      </c>
      <c r="S13" s="22" t="str">
        <f>IF(D13="","","#3")</f>
        <v/>
      </c>
      <c r="T13" s="22" t="str">
        <f t="shared" si="6"/>
        <v/>
      </c>
    </row>
    <row r="14" spans="1:20" x14ac:dyDescent="0.2">
      <c r="A14" s="33">
        <v>3</v>
      </c>
      <c r="B14" s="36"/>
      <c r="C14" s="17">
        <v>1</v>
      </c>
      <c r="D14" s="17"/>
      <c r="E14" s="19" t="str">
        <f t="shared" ref="E14:E43" si="13">UPPER(LEFT(D14,20))</f>
        <v/>
      </c>
      <c r="F14" s="19" t="str" cm="1">
        <f t="array" ref="F14">revcomp(E14)</f>
        <v/>
      </c>
      <c r="G14" s="19"/>
      <c r="H14" s="19" t="str">
        <f>IF(B14="","",B14&amp;"_KO"&amp;C14&amp;"F")</f>
        <v/>
      </c>
      <c r="I14" s="20" t="str">
        <f>IF(D14="","","agaggccatgtttatg"&amp;E14&amp;"gtttaagagctaagctggaaacag")</f>
        <v/>
      </c>
      <c r="J14" s="21"/>
      <c r="K14" s="22" t="str">
        <f t="shared" ref="K14:K43" si="14">IF(H14="","",H14)</f>
        <v/>
      </c>
      <c r="L14" s="22"/>
      <c r="M14" s="22" t="str">
        <f t="shared" ref="M14:M43" si="15">IF(I14="","",I14)</f>
        <v/>
      </c>
      <c r="N14" s="22"/>
      <c r="O14" s="22" t="str">
        <f t="shared" ref="O14:O43" si="16">IF(M14="","","0.025")</f>
        <v/>
      </c>
      <c r="P14" s="22" t="str">
        <f t="shared" ref="P14:P43" si="17">IF(M14="","","Desalt")</f>
        <v/>
      </c>
      <c r="Q14" s="22" t="str">
        <f t="shared" ref="Q14:Q43" si="18">IF(M14="","","Dry")</f>
        <v/>
      </c>
      <c r="S14" s="22" t="str">
        <f>IF(D14="","","#1")</f>
        <v/>
      </c>
      <c r="T14" s="22" t="str">
        <f t="shared" si="6"/>
        <v/>
      </c>
    </row>
    <row r="15" spans="1:20" x14ac:dyDescent="0.2">
      <c r="A15" s="34"/>
      <c r="B15" s="37"/>
      <c r="C15" s="3">
        <v>2</v>
      </c>
      <c r="D15" s="3"/>
      <c r="E15" s="22" t="str">
        <f t="shared" si="13"/>
        <v/>
      </c>
      <c r="F15" s="22" t="str" cm="1">
        <f t="array" ref="F15">revcomp(E15)</f>
        <v/>
      </c>
      <c r="G15" s="22"/>
      <c r="H15" s="22" t="str">
        <f>IF(B14="","",B14&amp;"_KO"&amp;C15&amp;"R")</f>
        <v/>
      </c>
      <c r="I15" s="23" t="str">
        <f>IF(D15="","","tgcttagctctcaaac"&amp;F15&amp;"caacaaggtggttctccaaggg")</f>
        <v/>
      </c>
      <c r="J15" s="21"/>
      <c r="K15" s="22" t="str">
        <f t="shared" si="14"/>
        <v/>
      </c>
      <c r="L15" s="22"/>
      <c r="M15" s="22" t="str">
        <f t="shared" si="15"/>
        <v/>
      </c>
      <c r="N15" s="22"/>
      <c r="O15" s="22" t="str">
        <f t="shared" si="16"/>
        <v/>
      </c>
      <c r="P15" s="22" t="str">
        <f t="shared" si="17"/>
        <v/>
      </c>
      <c r="Q15" s="22" t="str">
        <f t="shared" si="18"/>
        <v/>
      </c>
      <c r="S15" s="22" t="str">
        <f>IF(D15="","","#2")</f>
        <v/>
      </c>
      <c r="T15" s="22" t="str">
        <f t="shared" si="6"/>
        <v/>
      </c>
    </row>
    <row r="16" spans="1:20" ht="17" thickBot="1" x14ac:dyDescent="0.25">
      <c r="A16" s="35"/>
      <c r="B16" s="38"/>
      <c r="C16" s="18">
        <v>3</v>
      </c>
      <c r="D16" s="18"/>
      <c r="E16" s="24" t="str">
        <f t="shared" si="13"/>
        <v/>
      </c>
      <c r="F16" s="24" t="str" cm="1">
        <f t="array" ref="F16">revcomp(E16)</f>
        <v/>
      </c>
      <c r="G16" s="24"/>
      <c r="H16" s="24" t="str">
        <f>IF(B14="","",B14&amp;"_KO"&amp;C16&amp;"R")</f>
        <v/>
      </c>
      <c r="I16" s="25" t="str">
        <f>IF(D16="","","tgcttagctctgaaac"&amp;F16&amp;"catgtttctggctttccacaag")</f>
        <v/>
      </c>
      <c r="J16" s="21"/>
      <c r="K16" s="22" t="str">
        <f t="shared" si="14"/>
        <v/>
      </c>
      <c r="L16" s="22"/>
      <c r="M16" s="22" t="str">
        <f t="shared" si="15"/>
        <v/>
      </c>
      <c r="N16" s="22"/>
      <c r="O16" s="22" t="str">
        <f t="shared" si="16"/>
        <v/>
      </c>
      <c r="P16" s="22" t="str">
        <f t="shared" si="17"/>
        <v/>
      </c>
      <c r="Q16" s="22" t="str">
        <f t="shared" si="18"/>
        <v/>
      </c>
      <c r="S16" s="22" t="str">
        <f>IF(D16="","","#3")</f>
        <v/>
      </c>
      <c r="T16" s="22" t="str">
        <f t="shared" si="6"/>
        <v/>
      </c>
    </row>
    <row r="17" spans="1:20" x14ac:dyDescent="0.2">
      <c r="A17" s="33">
        <v>4</v>
      </c>
      <c r="B17" s="36"/>
      <c r="C17" s="17">
        <v>1</v>
      </c>
      <c r="D17" s="17"/>
      <c r="E17" s="19" t="str">
        <f t="shared" si="13"/>
        <v/>
      </c>
      <c r="F17" s="19" t="str" cm="1">
        <f t="array" ref="F17">revcomp(E17)</f>
        <v/>
      </c>
      <c r="G17" s="19"/>
      <c r="H17" s="19" t="str">
        <f>IF(B17="","",B17&amp;"_KO"&amp;C17&amp;"F")</f>
        <v/>
      </c>
      <c r="I17" s="20" t="str">
        <f>IF(D17="","","agaggccatgtttatg"&amp;E17&amp;"gtttaagagctaagctggaaacag")</f>
        <v/>
      </c>
      <c r="J17" s="21"/>
      <c r="K17" s="22" t="str">
        <f t="shared" si="14"/>
        <v/>
      </c>
      <c r="L17" s="22"/>
      <c r="M17" s="22" t="str">
        <f t="shared" si="15"/>
        <v/>
      </c>
      <c r="N17" s="22"/>
      <c r="O17" s="22" t="str">
        <f t="shared" si="16"/>
        <v/>
      </c>
      <c r="P17" s="22" t="str">
        <f t="shared" si="17"/>
        <v/>
      </c>
      <c r="Q17" s="22" t="str">
        <f t="shared" si="18"/>
        <v/>
      </c>
      <c r="S17" s="22" t="str">
        <f>IF(D17="","","#1")</f>
        <v/>
      </c>
      <c r="T17" s="22" t="str">
        <f t="shared" si="6"/>
        <v/>
      </c>
    </row>
    <row r="18" spans="1:20" x14ac:dyDescent="0.2">
      <c r="A18" s="34"/>
      <c r="B18" s="37"/>
      <c r="C18" s="3">
        <v>2</v>
      </c>
      <c r="D18" s="3"/>
      <c r="E18" s="22" t="str">
        <f t="shared" si="13"/>
        <v/>
      </c>
      <c r="F18" s="22" t="str" cm="1">
        <f t="array" ref="F18">revcomp(E18)</f>
        <v/>
      </c>
      <c r="G18" s="22"/>
      <c r="H18" s="22" t="str">
        <f>IF(B17="","",B17&amp;"_KO"&amp;C18&amp;"R")</f>
        <v/>
      </c>
      <c r="I18" s="23" t="str">
        <f>IF(D18="","","tgcttagctctcaaac"&amp;F18&amp;"caacaaggtggttctccaaggg")</f>
        <v/>
      </c>
      <c r="J18" s="21"/>
      <c r="K18" s="22" t="str">
        <f t="shared" si="14"/>
        <v/>
      </c>
      <c r="L18" s="22"/>
      <c r="M18" s="22" t="str">
        <f t="shared" si="15"/>
        <v/>
      </c>
      <c r="N18" s="22"/>
      <c r="O18" s="22" t="str">
        <f t="shared" si="16"/>
        <v/>
      </c>
      <c r="P18" s="22" t="str">
        <f t="shared" si="17"/>
        <v/>
      </c>
      <c r="Q18" s="22" t="str">
        <f t="shared" si="18"/>
        <v/>
      </c>
      <c r="S18" s="22" t="str">
        <f>IF(D18="","","#2")</f>
        <v/>
      </c>
      <c r="T18" s="22" t="str">
        <f t="shared" si="6"/>
        <v/>
      </c>
    </row>
    <row r="19" spans="1:20" ht="17" thickBot="1" x14ac:dyDescent="0.25">
      <c r="A19" s="35"/>
      <c r="B19" s="38"/>
      <c r="C19" s="18">
        <v>3</v>
      </c>
      <c r="D19" s="18"/>
      <c r="E19" s="24" t="str">
        <f t="shared" si="13"/>
        <v/>
      </c>
      <c r="F19" s="24" t="str" cm="1">
        <f t="array" ref="F19">revcomp(E19)</f>
        <v/>
      </c>
      <c r="G19" s="24"/>
      <c r="H19" s="24" t="str">
        <f>IF(B17="","",B17&amp;"_KO"&amp;C19&amp;"R")</f>
        <v/>
      </c>
      <c r="I19" s="25" t="str">
        <f>IF(D19="","","tgcttagctctgaaac"&amp;F19&amp;"catgtttctggctttccacaag")</f>
        <v/>
      </c>
      <c r="J19" s="21"/>
      <c r="K19" s="22" t="str">
        <f t="shared" si="14"/>
        <v/>
      </c>
      <c r="L19" s="22"/>
      <c r="M19" s="22" t="str">
        <f t="shared" si="15"/>
        <v/>
      </c>
      <c r="N19" s="22"/>
      <c r="O19" s="22" t="str">
        <f t="shared" si="16"/>
        <v/>
      </c>
      <c r="P19" s="22" t="str">
        <f t="shared" si="17"/>
        <v/>
      </c>
      <c r="Q19" s="22" t="str">
        <f t="shared" si="18"/>
        <v/>
      </c>
      <c r="S19" s="22" t="str">
        <f>IF(D19="","","#3")</f>
        <v/>
      </c>
      <c r="T19" s="22" t="str">
        <f t="shared" si="6"/>
        <v/>
      </c>
    </row>
    <row r="20" spans="1:20" x14ac:dyDescent="0.2">
      <c r="A20" s="33">
        <v>5</v>
      </c>
      <c r="B20" s="36"/>
      <c r="C20" s="17">
        <v>1</v>
      </c>
      <c r="D20" s="17"/>
      <c r="E20" s="19" t="str">
        <f t="shared" si="13"/>
        <v/>
      </c>
      <c r="F20" s="19" t="str" cm="1">
        <f t="array" ref="F20">revcomp(E20)</f>
        <v/>
      </c>
      <c r="G20" s="19"/>
      <c r="H20" s="19" t="str">
        <f>IF(B20="","",B20&amp;"_KO"&amp;C20&amp;"F")</f>
        <v/>
      </c>
      <c r="I20" s="20" t="str">
        <f>IF(D20="","","agaggccatgtttatg"&amp;E20&amp;"gtttaagagctaagctggaaacag")</f>
        <v/>
      </c>
      <c r="J20" s="21"/>
      <c r="K20" s="22" t="str">
        <f t="shared" si="14"/>
        <v/>
      </c>
      <c r="L20" s="22"/>
      <c r="M20" s="22" t="str">
        <f t="shared" si="15"/>
        <v/>
      </c>
      <c r="N20" s="22"/>
      <c r="O20" s="22" t="str">
        <f t="shared" si="16"/>
        <v/>
      </c>
      <c r="P20" s="22" t="str">
        <f t="shared" si="17"/>
        <v/>
      </c>
      <c r="Q20" s="22" t="str">
        <f t="shared" si="18"/>
        <v/>
      </c>
      <c r="S20" s="22" t="str">
        <f>IF(D20="","","#1")</f>
        <v/>
      </c>
      <c r="T20" s="22" t="str">
        <f t="shared" si="6"/>
        <v/>
      </c>
    </row>
    <row r="21" spans="1:20" x14ac:dyDescent="0.2">
      <c r="A21" s="34"/>
      <c r="B21" s="37"/>
      <c r="C21" s="3">
        <v>2</v>
      </c>
      <c r="D21" s="3"/>
      <c r="E21" s="22" t="str">
        <f t="shared" si="13"/>
        <v/>
      </c>
      <c r="F21" s="22" t="str" cm="1">
        <f t="array" ref="F21">revcomp(E21)</f>
        <v/>
      </c>
      <c r="G21" s="22"/>
      <c r="H21" s="22" t="str">
        <f>IF(B20="","",B20&amp;"_KO"&amp;C21&amp;"R")</f>
        <v/>
      </c>
      <c r="I21" s="23" t="str">
        <f>IF(D21="","","tgcttagctctcaaac"&amp;F21&amp;"caacaaggtggttctccaaggg")</f>
        <v/>
      </c>
      <c r="J21" s="21"/>
      <c r="K21" s="22" t="str">
        <f t="shared" si="14"/>
        <v/>
      </c>
      <c r="L21" s="22"/>
      <c r="M21" s="22" t="str">
        <f t="shared" si="15"/>
        <v/>
      </c>
      <c r="N21" s="22"/>
      <c r="O21" s="22" t="str">
        <f t="shared" si="16"/>
        <v/>
      </c>
      <c r="P21" s="22" t="str">
        <f t="shared" si="17"/>
        <v/>
      </c>
      <c r="Q21" s="22" t="str">
        <f t="shared" si="18"/>
        <v/>
      </c>
      <c r="S21" s="22" t="str">
        <f>IF(D21="","","#2")</f>
        <v/>
      </c>
      <c r="T21" s="22" t="str">
        <f t="shared" si="6"/>
        <v/>
      </c>
    </row>
    <row r="22" spans="1:20" ht="17" thickBot="1" x14ac:dyDescent="0.25">
      <c r="A22" s="35"/>
      <c r="B22" s="38"/>
      <c r="C22" s="18">
        <v>3</v>
      </c>
      <c r="D22" s="18"/>
      <c r="E22" s="24" t="str">
        <f t="shared" si="13"/>
        <v/>
      </c>
      <c r="F22" s="24" t="str" cm="1">
        <f t="array" ref="F22">revcomp(E22)</f>
        <v/>
      </c>
      <c r="G22" s="24"/>
      <c r="H22" s="24" t="str">
        <f>IF(B20="","",B20&amp;"_KO"&amp;C22&amp;"R")</f>
        <v/>
      </c>
      <c r="I22" s="25" t="str">
        <f>IF(D22="","","tgcttagctctgaaac"&amp;F22&amp;"catgtttctggctttccacaag")</f>
        <v/>
      </c>
      <c r="J22" s="21"/>
      <c r="K22" s="22" t="str">
        <f t="shared" si="14"/>
        <v/>
      </c>
      <c r="L22" s="22"/>
      <c r="M22" s="22" t="str">
        <f t="shared" si="15"/>
        <v/>
      </c>
      <c r="N22" s="22"/>
      <c r="O22" s="22" t="str">
        <f t="shared" si="16"/>
        <v/>
      </c>
      <c r="P22" s="22" t="str">
        <f t="shared" si="17"/>
        <v/>
      </c>
      <c r="Q22" s="22" t="str">
        <f t="shared" si="18"/>
        <v/>
      </c>
      <c r="S22" s="22" t="str">
        <f>IF(D22="","","#3")</f>
        <v/>
      </c>
      <c r="T22" s="22" t="str">
        <f t="shared" si="6"/>
        <v/>
      </c>
    </row>
    <row r="23" spans="1:20" x14ac:dyDescent="0.2">
      <c r="A23" s="33">
        <v>6</v>
      </c>
      <c r="B23" s="36"/>
      <c r="C23" s="17">
        <v>1</v>
      </c>
      <c r="D23" s="17"/>
      <c r="E23" s="19" t="str">
        <f t="shared" si="13"/>
        <v/>
      </c>
      <c r="F23" s="19" t="str" cm="1">
        <f t="array" ref="F23">revcomp(E23)</f>
        <v/>
      </c>
      <c r="G23" s="19"/>
      <c r="H23" s="19" t="str">
        <f>IF(B23="","",B23&amp;"_KO"&amp;C23&amp;"F")</f>
        <v/>
      </c>
      <c r="I23" s="20" t="str">
        <f>IF(D23="","","agaggccatgtttatg"&amp;E23&amp;"gtttaagagctaagctggaaacag")</f>
        <v/>
      </c>
      <c r="J23" s="21"/>
      <c r="K23" s="22" t="str">
        <f t="shared" si="14"/>
        <v/>
      </c>
      <c r="L23" s="22"/>
      <c r="M23" s="22" t="str">
        <f t="shared" si="15"/>
        <v/>
      </c>
      <c r="N23" s="22"/>
      <c r="O23" s="22" t="str">
        <f t="shared" si="16"/>
        <v/>
      </c>
      <c r="P23" s="22" t="str">
        <f t="shared" si="17"/>
        <v/>
      </c>
      <c r="Q23" s="22" t="str">
        <f t="shared" si="18"/>
        <v/>
      </c>
      <c r="S23" s="22" t="str">
        <f>IF(D23="","","#1")</f>
        <v/>
      </c>
      <c r="T23" s="22" t="str">
        <f t="shared" si="6"/>
        <v/>
      </c>
    </row>
    <row r="24" spans="1:20" x14ac:dyDescent="0.2">
      <c r="A24" s="34"/>
      <c r="B24" s="37"/>
      <c r="C24" s="3">
        <v>2</v>
      </c>
      <c r="D24" s="3"/>
      <c r="E24" s="22" t="str">
        <f t="shared" si="13"/>
        <v/>
      </c>
      <c r="F24" s="22" t="str" cm="1">
        <f t="array" ref="F24">revcomp(E24)</f>
        <v/>
      </c>
      <c r="G24" s="22"/>
      <c r="H24" s="22" t="str">
        <f>IF(B23="","",B23&amp;"_KO"&amp;C24&amp;"R")</f>
        <v/>
      </c>
      <c r="I24" s="23" t="str">
        <f>IF(D24="","","tgcttagctctcaaac"&amp;F24&amp;"caacaaggtggttctccaaggg")</f>
        <v/>
      </c>
      <c r="J24" s="21"/>
      <c r="K24" s="22" t="str">
        <f t="shared" si="14"/>
        <v/>
      </c>
      <c r="L24" s="22"/>
      <c r="M24" s="22" t="str">
        <f t="shared" si="15"/>
        <v/>
      </c>
      <c r="N24" s="22"/>
      <c r="O24" s="22" t="str">
        <f t="shared" si="16"/>
        <v/>
      </c>
      <c r="P24" s="22" t="str">
        <f t="shared" si="17"/>
        <v/>
      </c>
      <c r="Q24" s="22" t="str">
        <f t="shared" si="18"/>
        <v/>
      </c>
      <c r="S24" s="22" t="str">
        <f>IF(D24="","","#2")</f>
        <v/>
      </c>
      <c r="T24" s="22" t="str">
        <f t="shared" si="6"/>
        <v/>
      </c>
    </row>
    <row r="25" spans="1:20" ht="17" thickBot="1" x14ac:dyDescent="0.25">
      <c r="A25" s="35"/>
      <c r="B25" s="38"/>
      <c r="C25" s="18">
        <v>3</v>
      </c>
      <c r="D25" s="18"/>
      <c r="E25" s="24" t="str">
        <f t="shared" si="13"/>
        <v/>
      </c>
      <c r="F25" s="24" t="str" cm="1">
        <f t="array" ref="F25">revcomp(E25)</f>
        <v/>
      </c>
      <c r="G25" s="24"/>
      <c r="H25" s="24" t="str">
        <f>IF(B23="","",B23&amp;"_KO"&amp;C25&amp;"R")</f>
        <v/>
      </c>
      <c r="I25" s="25" t="str">
        <f>IF(D25="","","tgcttagctctgaaac"&amp;F25&amp;"catgtttctggctttccacaag")</f>
        <v/>
      </c>
      <c r="J25" s="21"/>
      <c r="K25" s="22" t="str">
        <f t="shared" si="14"/>
        <v/>
      </c>
      <c r="L25" s="22"/>
      <c r="M25" s="22" t="str">
        <f t="shared" si="15"/>
        <v/>
      </c>
      <c r="N25" s="22"/>
      <c r="O25" s="22" t="str">
        <f t="shared" si="16"/>
        <v/>
      </c>
      <c r="P25" s="22" t="str">
        <f t="shared" si="17"/>
        <v/>
      </c>
      <c r="Q25" s="22" t="str">
        <f t="shared" si="18"/>
        <v/>
      </c>
      <c r="S25" s="22" t="str">
        <f>IF(D25="","","#3")</f>
        <v/>
      </c>
      <c r="T25" s="22" t="str">
        <f t="shared" si="6"/>
        <v/>
      </c>
    </row>
    <row r="26" spans="1:20" x14ac:dyDescent="0.2">
      <c r="A26" s="33">
        <v>7</v>
      </c>
      <c r="B26" s="36"/>
      <c r="C26" s="17">
        <v>1</v>
      </c>
      <c r="D26" s="17"/>
      <c r="E26" s="19" t="str">
        <f t="shared" si="13"/>
        <v/>
      </c>
      <c r="F26" s="19" t="str" cm="1">
        <f t="array" ref="F26">revcomp(E26)</f>
        <v/>
      </c>
      <c r="G26" s="19"/>
      <c r="H26" s="19" t="str">
        <f>IF(B26="","",B26&amp;"_KO"&amp;C26&amp;"F")</f>
        <v/>
      </c>
      <c r="I26" s="20" t="str">
        <f>IF(D26="","","agaggccatgtttatg"&amp;E26&amp;"gtttaagagctaagctggaaacag")</f>
        <v/>
      </c>
      <c r="J26" s="21"/>
      <c r="K26" s="22" t="str">
        <f t="shared" si="14"/>
        <v/>
      </c>
      <c r="L26" s="22"/>
      <c r="M26" s="22" t="str">
        <f t="shared" si="15"/>
        <v/>
      </c>
      <c r="N26" s="22"/>
      <c r="O26" s="22" t="str">
        <f t="shared" si="16"/>
        <v/>
      </c>
      <c r="P26" s="22" t="str">
        <f t="shared" si="17"/>
        <v/>
      </c>
      <c r="Q26" s="22" t="str">
        <f t="shared" si="18"/>
        <v/>
      </c>
      <c r="S26" s="22" t="str">
        <f>IF(D26="","","#1")</f>
        <v/>
      </c>
      <c r="T26" s="22" t="str">
        <f t="shared" si="6"/>
        <v/>
      </c>
    </row>
    <row r="27" spans="1:20" x14ac:dyDescent="0.2">
      <c r="A27" s="34"/>
      <c r="B27" s="37"/>
      <c r="C27" s="3">
        <v>2</v>
      </c>
      <c r="D27" s="3"/>
      <c r="E27" s="22" t="str">
        <f t="shared" si="13"/>
        <v/>
      </c>
      <c r="F27" s="22" t="str" cm="1">
        <f t="array" ref="F27">revcomp(E27)</f>
        <v/>
      </c>
      <c r="G27" s="22"/>
      <c r="H27" s="22" t="str">
        <f>IF(B26="","",B26&amp;"_KO"&amp;C27&amp;"R")</f>
        <v/>
      </c>
      <c r="I27" s="23" t="str">
        <f>IF(D27="","","tgcttagctctcaaac"&amp;F27&amp;"caacaaggtggttctccaaggg")</f>
        <v/>
      </c>
      <c r="J27" s="21"/>
      <c r="K27" s="22" t="str">
        <f t="shared" si="14"/>
        <v/>
      </c>
      <c r="L27" s="22"/>
      <c r="M27" s="22" t="str">
        <f t="shared" si="15"/>
        <v/>
      </c>
      <c r="N27" s="22"/>
      <c r="O27" s="22" t="str">
        <f t="shared" si="16"/>
        <v/>
      </c>
      <c r="P27" s="22" t="str">
        <f t="shared" si="17"/>
        <v/>
      </c>
      <c r="Q27" s="22" t="str">
        <f t="shared" si="18"/>
        <v/>
      </c>
      <c r="S27" s="22" t="str">
        <f>IF(D27="","","#2")</f>
        <v/>
      </c>
      <c r="T27" s="22" t="str">
        <f t="shared" si="6"/>
        <v/>
      </c>
    </row>
    <row r="28" spans="1:20" ht="17" thickBot="1" x14ac:dyDescent="0.25">
      <c r="A28" s="35"/>
      <c r="B28" s="38"/>
      <c r="C28" s="18">
        <v>3</v>
      </c>
      <c r="D28" s="18"/>
      <c r="E28" s="24" t="str">
        <f t="shared" si="13"/>
        <v/>
      </c>
      <c r="F28" s="24" t="str" cm="1">
        <f t="array" ref="F28">revcomp(E28)</f>
        <v/>
      </c>
      <c r="G28" s="24"/>
      <c r="H28" s="24" t="str">
        <f>IF(B26="","",B26&amp;"_KO"&amp;C28&amp;"R")</f>
        <v/>
      </c>
      <c r="I28" s="25" t="str">
        <f>IF(D28="","","tgcttagctctgaaac"&amp;F28&amp;"catgtttctggctttccacaag")</f>
        <v/>
      </c>
      <c r="J28" s="21"/>
      <c r="K28" s="22" t="str">
        <f t="shared" si="14"/>
        <v/>
      </c>
      <c r="L28" s="22"/>
      <c r="M28" s="22" t="str">
        <f t="shared" si="15"/>
        <v/>
      </c>
      <c r="N28" s="22"/>
      <c r="O28" s="22" t="str">
        <f t="shared" si="16"/>
        <v/>
      </c>
      <c r="P28" s="22" t="str">
        <f t="shared" si="17"/>
        <v/>
      </c>
      <c r="Q28" s="22" t="str">
        <f t="shared" si="18"/>
        <v/>
      </c>
      <c r="S28" s="22" t="str">
        <f>IF(D28="","","#3")</f>
        <v/>
      </c>
      <c r="T28" s="22" t="str">
        <f t="shared" si="6"/>
        <v/>
      </c>
    </row>
    <row r="29" spans="1:20" x14ac:dyDescent="0.2">
      <c r="A29" s="33">
        <v>8</v>
      </c>
      <c r="B29" s="36"/>
      <c r="C29" s="17">
        <v>1</v>
      </c>
      <c r="D29" s="17"/>
      <c r="E29" s="19" t="str">
        <f t="shared" si="13"/>
        <v/>
      </c>
      <c r="F29" s="19" t="str" cm="1">
        <f t="array" ref="F29">revcomp(E29)</f>
        <v/>
      </c>
      <c r="G29" s="19"/>
      <c r="H29" s="19" t="str">
        <f>IF(B29="","",B29&amp;"_KO"&amp;C29&amp;"F")</f>
        <v/>
      </c>
      <c r="I29" s="20" t="str">
        <f>IF(D29="","","agaggccatgtttatg"&amp;E29&amp;"gtttaagagctaagctggaaacag")</f>
        <v/>
      </c>
      <c r="J29" s="21"/>
      <c r="K29" s="22" t="str">
        <f t="shared" si="14"/>
        <v/>
      </c>
      <c r="L29" s="22"/>
      <c r="M29" s="22" t="str">
        <f t="shared" si="15"/>
        <v/>
      </c>
      <c r="N29" s="22"/>
      <c r="O29" s="22" t="str">
        <f t="shared" si="16"/>
        <v/>
      </c>
      <c r="P29" s="22" t="str">
        <f t="shared" si="17"/>
        <v/>
      </c>
      <c r="Q29" s="22" t="str">
        <f t="shared" si="18"/>
        <v/>
      </c>
      <c r="S29" s="22" t="str">
        <f>IF(D29="","","#1")</f>
        <v/>
      </c>
      <c r="T29" s="22" t="str">
        <f t="shared" si="6"/>
        <v/>
      </c>
    </row>
    <row r="30" spans="1:20" x14ac:dyDescent="0.2">
      <c r="A30" s="34"/>
      <c r="B30" s="37"/>
      <c r="C30" s="3">
        <v>2</v>
      </c>
      <c r="D30" s="3"/>
      <c r="E30" s="22" t="str">
        <f t="shared" si="13"/>
        <v/>
      </c>
      <c r="F30" s="22" t="str" cm="1">
        <f t="array" ref="F30">revcomp(E30)</f>
        <v/>
      </c>
      <c r="G30" s="22"/>
      <c r="H30" s="22" t="str">
        <f>IF(B29="","",B29&amp;"_KO"&amp;C30&amp;"R")</f>
        <v/>
      </c>
      <c r="I30" s="23" t="str">
        <f>IF(D30="","","tgcttagctctcaaac"&amp;F30&amp;"caacaaggtggttctccaaggg")</f>
        <v/>
      </c>
      <c r="J30" s="21"/>
      <c r="K30" s="22" t="str">
        <f t="shared" si="14"/>
        <v/>
      </c>
      <c r="L30" s="22"/>
      <c r="M30" s="22" t="str">
        <f t="shared" si="15"/>
        <v/>
      </c>
      <c r="N30" s="22"/>
      <c r="O30" s="22" t="str">
        <f t="shared" si="16"/>
        <v/>
      </c>
      <c r="P30" s="22" t="str">
        <f t="shared" si="17"/>
        <v/>
      </c>
      <c r="Q30" s="22" t="str">
        <f t="shared" si="18"/>
        <v/>
      </c>
      <c r="S30" s="22" t="str">
        <f>IF(D30="","","#2")</f>
        <v/>
      </c>
      <c r="T30" s="22" t="str">
        <f t="shared" si="6"/>
        <v/>
      </c>
    </row>
    <row r="31" spans="1:20" ht="17" thickBot="1" x14ac:dyDescent="0.25">
      <c r="A31" s="35"/>
      <c r="B31" s="38"/>
      <c r="C31" s="18">
        <v>3</v>
      </c>
      <c r="D31" s="18"/>
      <c r="E31" s="24" t="str">
        <f t="shared" si="13"/>
        <v/>
      </c>
      <c r="F31" s="24" t="str" cm="1">
        <f t="array" ref="F31">revcomp(E31)</f>
        <v/>
      </c>
      <c r="G31" s="24"/>
      <c r="H31" s="24" t="str">
        <f>IF(B29="","",B29&amp;"_KO"&amp;C31&amp;"R")</f>
        <v/>
      </c>
      <c r="I31" s="25" t="str">
        <f>IF(D31="","","tgcttagctctgaaac"&amp;F31&amp;"catgtttctggctttccacaag")</f>
        <v/>
      </c>
      <c r="J31" s="21"/>
      <c r="K31" s="22" t="str">
        <f t="shared" si="14"/>
        <v/>
      </c>
      <c r="L31" s="22"/>
      <c r="M31" s="22" t="str">
        <f t="shared" si="15"/>
        <v/>
      </c>
      <c r="N31" s="22"/>
      <c r="O31" s="22" t="str">
        <f t="shared" si="16"/>
        <v/>
      </c>
      <c r="P31" s="22" t="str">
        <f t="shared" si="17"/>
        <v/>
      </c>
      <c r="Q31" s="22" t="str">
        <f t="shared" si="18"/>
        <v/>
      </c>
      <c r="S31" s="22" t="str">
        <f>IF(D31="","","#3")</f>
        <v/>
      </c>
      <c r="T31" s="22" t="str">
        <f t="shared" si="6"/>
        <v/>
      </c>
    </row>
    <row r="32" spans="1:20" x14ac:dyDescent="0.2">
      <c r="A32" s="33">
        <v>9</v>
      </c>
      <c r="B32" s="36"/>
      <c r="C32" s="17">
        <v>1</v>
      </c>
      <c r="D32" s="17"/>
      <c r="E32" s="19" t="str">
        <f t="shared" si="13"/>
        <v/>
      </c>
      <c r="F32" s="19" t="str" cm="1">
        <f t="array" ref="F32">revcomp(E32)</f>
        <v/>
      </c>
      <c r="G32" s="19"/>
      <c r="H32" s="19" t="str">
        <f>IF(B32="","",B32&amp;"_KO"&amp;C32&amp;"F")</f>
        <v/>
      </c>
      <c r="I32" s="20" t="str">
        <f>IF(D32="","","agaggccatgtttatg"&amp;E32&amp;"gtttaagagctaagctggaaacag")</f>
        <v/>
      </c>
      <c r="J32" s="21"/>
      <c r="K32" s="22" t="str">
        <f t="shared" si="14"/>
        <v/>
      </c>
      <c r="L32" s="22"/>
      <c r="M32" s="22" t="str">
        <f t="shared" si="15"/>
        <v/>
      </c>
      <c r="N32" s="22"/>
      <c r="O32" s="22" t="str">
        <f t="shared" si="16"/>
        <v/>
      </c>
      <c r="P32" s="22" t="str">
        <f t="shared" si="17"/>
        <v/>
      </c>
      <c r="Q32" s="22" t="str">
        <f t="shared" si="18"/>
        <v/>
      </c>
      <c r="S32" s="22" t="str">
        <f>IF(D32="","","#1")</f>
        <v/>
      </c>
      <c r="T32" s="22" t="str">
        <f t="shared" si="6"/>
        <v/>
      </c>
    </row>
    <row r="33" spans="1:20" x14ac:dyDescent="0.2">
      <c r="A33" s="34"/>
      <c r="B33" s="37"/>
      <c r="C33" s="3">
        <v>2</v>
      </c>
      <c r="D33" s="3"/>
      <c r="E33" s="22" t="str">
        <f t="shared" si="13"/>
        <v/>
      </c>
      <c r="F33" s="22" t="str" cm="1">
        <f t="array" ref="F33">revcomp(E33)</f>
        <v/>
      </c>
      <c r="G33" s="22"/>
      <c r="H33" s="22" t="str">
        <f>IF(B32="","",B32&amp;"_KO"&amp;C33&amp;"R")</f>
        <v/>
      </c>
      <c r="I33" s="23" t="str">
        <f>IF(D33="","","tgcttagctctcaaac"&amp;F33&amp;"caacaaggtggttctccaaggg")</f>
        <v/>
      </c>
      <c r="J33" s="21"/>
      <c r="K33" s="22" t="str">
        <f t="shared" si="14"/>
        <v/>
      </c>
      <c r="L33" s="22"/>
      <c r="M33" s="22" t="str">
        <f t="shared" si="15"/>
        <v/>
      </c>
      <c r="N33" s="22"/>
      <c r="O33" s="22" t="str">
        <f t="shared" si="16"/>
        <v/>
      </c>
      <c r="P33" s="22" t="str">
        <f t="shared" si="17"/>
        <v/>
      </c>
      <c r="Q33" s="22" t="str">
        <f t="shared" si="18"/>
        <v/>
      </c>
      <c r="S33" s="22" t="str">
        <f>IF(D33="","","#2")</f>
        <v/>
      </c>
      <c r="T33" s="22" t="str">
        <f t="shared" si="6"/>
        <v/>
      </c>
    </row>
    <row r="34" spans="1:20" ht="17" thickBot="1" x14ac:dyDescent="0.25">
      <c r="A34" s="35"/>
      <c r="B34" s="38"/>
      <c r="C34" s="18">
        <v>3</v>
      </c>
      <c r="D34" s="18"/>
      <c r="E34" s="24" t="str">
        <f t="shared" si="13"/>
        <v/>
      </c>
      <c r="F34" s="24" t="str" cm="1">
        <f t="array" ref="F34">revcomp(E34)</f>
        <v/>
      </c>
      <c r="G34" s="24"/>
      <c r="H34" s="24" t="str">
        <f>IF(B32="","",B32&amp;"_KO"&amp;C34&amp;"R")</f>
        <v/>
      </c>
      <c r="I34" s="25" t="str">
        <f>IF(D34="","","tgcttagctctgaaac"&amp;F34&amp;"catgtttctggctttccacaag")</f>
        <v/>
      </c>
      <c r="J34" s="21"/>
      <c r="K34" s="22" t="str">
        <f t="shared" si="14"/>
        <v/>
      </c>
      <c r="L34" s="22"/>
      <c r="M34" s="22" t="str">
        <f t="shared" si="15"/>
        <v/>
      </c>
      <c r="N34" s="22"/>
      <c r="O34" s="22" t="str">
        <f t="shared" si="16"/>
        <v/>
      </c>
      <c r="P34" s="22" t="str">
        <f t="shared" si="17"/>
        <v/>
      </c>
      <c r="Q34" s="22" t="str">
        <f t="shared" si="18"/>
        <v/>
      </c>
      <c r="S34" s="22" t="str">
        <f>IF(D34="","","#3")</f>
        <v/>
      </c>
      <c r="T34" s="22" t="str">
        <f t="shared" si="6"/>
        <v/>
      </c>
    </row>
    <row r="35" spans="1:20" x14ac:dyDescent="0.2">
      <c r="A35" s="33">
        <v>10</v>
      </c>
      <c r="B35" s="36"/>
      <c r="C35" s="17">
        <v>1</v>
      </c>
      <c r="D35" s="17"/>
      <c r="E35" s="19" t="str">
        <f t="shared" si="13"/>
        <v/>
      </c>
      <c r="F35" s="19" t="str" cm="1">
        <f t="array" ref="F35">revcomp(E35)</f>
        <v/>
      </c>
      <c r="G35" s="19"/>
      <c r="H35" s="19" t="str">
        <f>IF(B35="","",B35&amp;"_KO"&amp;C35&amp;"F")</f>
        <v/>
      </c>
      <c r="I35" s="20" t="str">
        <f>IF(D35="","","agaggccatgtttatg"&amp;E35&amp;"gtttaagagctaagctggaaacag")</f>
        <v/>
      </c>
      <c r="J35" s="21"/>
      <c r="K35" s="22" t="str">
        <f t="shared" si="14"/>
        <v/>
      </c>
      <c r="L35" s="22"/>
      <c r="M35" s="22" t="str">
        <f t="shared" si="15"/>
        <v/>
      </c>
      <c r="N35" s="22"/>
      <c r="O35" s="22" t="str">
        <f t="shared" si="16"/>
        <v/>
      </c>
      <c r="P35" s="22" t="str">
        <f t="shared" si="17"/>
        <v/>
      </c>
      <c r="Q35" s="22" t="str">
        <f t="shared" si="18"/>
        <v/>
      </c>
      <c r="S35" s="22" t="str">
        <f>IF(D35="","","#1")</f>
        <v/>
      </c>
      <c r="T35" s="22" t="str">
        <f t="shared" si="6"/>
        <v/>
      </c>
    </row>
    <row r="36" spans="1:20" x14ac:dyDescent="0.2">
      <c r="A36" s="34"/>
      <c r="B36" s="37"/>
      <c r="C36" s="3">
        <v>2</v>
      </c>
      <c r="D36" s="3"/>
      <c r="E36" s="22" t="str">
        <f t="shared" si="13"/>
        <v/>
      </c>
      <c r="F36" s="22" t="str" cm="1">
        <f t="array" ref="F36">revcomp(E36)</f>
        <v/>
      </c>
      <c r="G36" s="22"/>
      <c r="H36" s="22" t="str">
        <f>IF(B35="","",B35&amp;"_KO"&amp;C36&amp;"R")</f>
        <v/>
      </c>
      <c r="I36" s="23" t="str">
        <f>IF(D36="","","tgcttagctctcaaac"&amp;F36&amp;"caacaaggtggttctccaaggg")</f>
        <v/>
      </c>
      <c r="J36" s="21"/>
      <c r="K36" s="22" t="str">
        <f t="shared" si="14"/>
        <v/>
      </c>
      <c r="L36" s="22"/>
      <c r="M36" s="22" t="str">
        <f t="shared" si="15"/>
        <v/>
      </c>
      <c r="N36" s="22"/>
      <c r="O36" s="22" t="str">
        <f t="shared" si="16"/>
        <v/>
      </c>
      <c r="P36" s="22" t="str">
        <f t="shared" si="17"/>
        <v/>
      </c>
      <c r="Q36" s="22" t="str">
        <f t="shared" si="18"/>
        <v/>
      </c>
      <c r="S36" s="22" t="str">
        <f>IF(D36="","","#2")</f>
        <v/>
      </c>
      <c r="T36" s="22" t="str">
        <f t="shared" si="6"/>
        <v/>
      </c>
    </row>
    <row r="37" spans="1:20" ht="17" thickBot="1" x14ac:dyDescent="0.25">
      <c r="A37" s="35"/>
      <c r="B37" s="38"/>
      <c r="C37" s="18">
        <v>3</v>
      </c>
      <c r="D37" s="18"/>
      <c r="E37" s="24" t="str">
        <f t="shared" si="13"/>
        <v/>
      </c>
      <c r="F37" s="24" t="str" cm="1">
        <f t="array" ref="F37">revcomp(E37)</f>
        <v/>
      </c>
      <c r="G37" s="24"/>
      <c r="H37" s="24" t="str">
        <f>IF(B35="","",B35&amp;"_KO"&amp;C37&amp;"R")</f>
        <v/>
      </c>
      <c r="I37" s="25" t="str">
        <f>IF(D37="","","tgcttagctctgaaac"&amp;F37&amp;"catgtttctggctttccacaag")</f>
        <v/>
      </c>
      <c r="J37" s="21"/>
      <c r="K37" s="22" t="str">
        <f t="shared" si="14"/>
        <v/>
      </c>
      <c r="L37" s="22"/>
      <c r="M37" s="22" t="str">
        <f t="shared" si="15"/>
        <v/>
      </c>
      <c r="N37" s="22"/>
      <c r="O37" s="22" t="str">
        <f t="shared" si="16"/>
        <v/>
      </c>
      <c r="P37" s="22" t="str">
        <f t="shared" si="17"/>
        <v/>
      </c>
      <c r="Q37" s="22" t="str">
        <f t="shared" si="18"/>
        <v/>
      </c>
      <c r="S37" s="22" t="str">
        <f>IF(D37="","","#3")</f>
        <v/>
      </c>
      <c r="T37" s="22" t="str">
        <f t="shared" si="6"/>
        <v/>
      </c>
    </row>
    <row r="38" spans="1:20" x14ac:dyDescent="0.2">
      <c r="A38" s="33">
        <v>11</v>
      </c>
      <c r="B38" s="36"/>
      <c r="C38" s="17">
        <v>1</v>
      </c>
      <c r="D38" s="17"/>
      <c r="E38" s="19" t="str">
        <f t="shared" si="13"/>
        <v/>
      </c>
      <c r="F38" s="19" t="str" cm="1">
        <f t="array" ref="F38">revcomp(E38)</f>
        <v/>
      </c>
      <c r="G38" s="19"/>
      <c r="H38" s="19" t="str">
        <f>IF(B38="","",B38&amp;"_KO"&amp;C38&amp;"F")</f>
        <v/>
      </c>
      <c r="I38" s="20" t="str">
        <f>IF(D38="","","agaggccatgtttatg"&amp;E38&amp;"gtttaagagctaagctggaaacag")</f>
        <v/>
      </c>
      <c r="J38" s="21"/>
      <c r="K38" s="22" t="str">
        <f t="shared" si="14"/>
        <v/>
      </c>
      <c r="L38" s="22"/>
      <c r="M38" s="22" t="str">
        <f t="shared" si="15"/>
        <v/>
      </c>
      <c r="N38" s="22"/>
      <c r="O38" s="22" t="str">
        <f t="shared" si="16"/>
        <v/>
      </c>
      <c r="P38" s="22" t="str">
        <f t="shared" si="17"/>
        <v/>
      </c>
      <c r="Q38" s="22" t="str">
        <f t="shared" si="18"/>
        <v/>
      </c>
      <c r="S38" s="22" t="str">
        <f>IF(D38="","","#1")</f>
        <v/>
      </c>
      <c r="T38" s="22" t="str">
        <f t="shared" si="6"/>
        <v/>
      </c>
    </row>
    <row r="39" spans="1:20" x14ac:dyDescent="0.2">
      <c r="A39" s="34"/>
      <c r="B39" s="37"/>
      <c r="C39" s="3">
        <v>2</v>
      </c>
      <c r="D39" s="3"/>
      <c r="E39" s="22" t="str">
        <f t="shared" si="13"/>
        <v/>
      </c>
      <c r="F39" s="22" t="str" cm="1">
        <f t="array" ref="F39">revcomp(E39)</f>
        <v/>
      </c>
      <c r="G39" s="22"/>
      <c r="H39" s="22" t="str">
        <f>IF(B38="","",B38&amp;"_KO"&amp;C39&amp;"R")</f>
        <v/>
      </c>
      <c r="I39" s="23" t="str">
        <f>IF(D39="","","tgcttagctctcaaac"&amp;F39&amp;"caacaaggtggttctccaaggg")</f>
        <v/>
      </c>
      <c r="J39" s="21"/>
      <c r="K39" s="22" t="str">
        <f t="shared" si="14"/>
        <v/>
      </c>
      <c r="L39" s="22"/>
      <c r="M39" s="22" t="str">
        <f t="shared" si="15"/>
        <v/>
      </c>
      <c r="N39" s="22"/>
      <c r="O39" s="22" t="str">
        <f t="shared" si="16"/>
        <v/>
      </c>
      <c r="P39" s="22" t="str">
        <f t="shared" si="17"/>
        <v/>
      </c>
      <c r="Q39" s="22" t="str">
        <f t="shared" si="18"/>
        <v/>
      </c>
      <c r="S39" s="22" t="str">
        <f>IF(D39="","","#2")</f>
        <v/>
      </c>
      <c r="T39" s="22" t="str">
        <f t="shared" si="6"/>
        <v/>
      </c>
    </row>
    <row r="40" spans="1:20" ht="17" thickBot="1" x14ac:dyDescent="0.25">
      <c r="A40" s="35"/>
      <c r="B40" s="38"/>
      <c r="C40" s="18">
        <v>3</v>
      </c>
      <c r="D40" s="18"/>
      <c r="E40" s="24" t="str">
        <f t="shared" si="13"/>
        <v/>
      </c>
      <c r="F40" s="24" t="str" cm="1">
        <f t="array" ref="F40">revcomp(E40)</f>
        <v/>
      </c>
      <c r="G40" s="24"/>
      <c r="H40" s="24" t="str">
        <f>IF(B38="","",B38&amp;"_KO"&amp;C40&amp;"R")</f>
        <v/>
      </c>
      <c r="I40" s="25" t="str">
        <f>IF(D40="","","tgcttagctctgaaac"&amp;F40&amp;"catgtttctggctttccacaag")</f>
        <v/>
      </c>
      <c r="J40" s="21"/>
      <c r="K40" s="22" t="str">
        <f t="shared" si="14"/>
        <v/>
      </c>
      <c r="L40" s="22"/>
      <c r="M40" s="22" t="str">
        <f t="shared" si="15"/>
        <v/>
      </c>
      <c r="N40" s="22"/>
      <c r="O40" s="22" t="str">
        <f t="shared" si="16"/>
        <v/>
      </c>
      <c r="P40" s="22" t="str">
        <f t="shared" si="17"/>
        <v/>
      </c>
      <c r="Q40" s="22" t="str">
        <f t="shared" si="18"/>
        <v/>
      </c>
      <c r="S40" s="22" t="str">
        <f>IF(D40="","","#3")</f>
        <v/>
      </c>
      <c r="T40" s="22" t="str">
        <f t="shared" si="6"/>
        <v/>
      </c>
    </row>
    <row r="41" spans="1:20" x14ac:dyDescent="0.2">
      <c r="A41" s="33">
        <v>12</v>
      </c>
      <c r="B41" s="36"/>
      <c r="C41" s="17">
        <v>1</v>
      </c>
      <c r="D41" s="17"/>
      <c r="E41" s="19" t="str">
        <f t="shared" si="13"/>
        <v/>
      </c>
      <c r="F41" s="19" t="str" cm="1">
        <f t="array" ref="F41">revcomp(E41)</f>
        <v/>
      </c>
      <c r="G41" s="19"/>
      <c r="H41" s="19" t="str">
        <f>IF(B41="","",B41&amp;"_KO"&amp;C41&amp;"F")</f>
        <v/>
      </c>
      <c r="I41" s="20" t="str">
        <f>IF(D41="","","agaggccatgtttatg"&amp;E41&amp;"gtttaagagctaagctggaaacag")</f>
        <v/>
      </c>
      <c r="J41" s="21"/>
      <c r="K41" s="22" t="str">
        <f t="shared" si="14"/>
        <v/>
      </c>
      <c r="L41" s="22"/>
      <c r="M41" s="22" t="str">
        <f t="shared" si="15"/>
        <v/>
      </c>
      <c r="N41" s="22"/>
      <c r="O41" s="22" t="str">
        <f t="shared" si="16"/>
        <v/>
      </c>
      <c r="P41" s="22" t="str">
        <f t="shared" si="17"/>
        <v/>
      </c>
      <c r="Q41" s="22" t="str">
        <f t="shared" si="18"/>
        <v/>
      </c>
      <c r="S41" s="22" t="str">
        <f>IF(D41="","","#1")</f>
        <v/>
      </c>
      <c r="T41" s="22" t="str">
        <f t="shared" si="6"/>
        <v/>
      </c>
    </row>
    <row r="42" spans="1:20" x14ac:dyDescent="0.2">
      <c r="A42" s="34"/>
      <c r="B42" s="37"/>
      <c r="C42" s="3">
        <v>2</v>
      </c>
      <c r="D42" s="3"/>
      <c r="E42" s="22" t="str">
        <f t="shared" si="13"/>
        <v/>
      </c>
      <c r="F42" s="22" t="str" cm="1">
        <f t="array" ref="F42">revcomp(E42)</f>
        <v/>
      </c>
      <c r="G42" s="22"/>
      <c r="H42" s="22" t="str">
        <f>IF(B41="","",B41&amp;"_KO"&amp;C42&amp;"R")</f>
        <v/>
      </c>
      <c r="I42" s="23" t="str">
        <f>IF(D42="","","tgcttagctctcaaac"&amp;F42&amp;"caacaaggtggttctccaaggg")</f>
        <v/>
      </c>
      <c r="J42" s="21"/>
      <c r="K42" s="22" t="str">
        <f t="shared" si="14"/>
        <v/>
      </c>
      <c r="L42" s="22"/>
      <c r="M42" s="22" t="str">
        <f t="shared" si="15"/>
        <v/>
      </c>
      <c r="N42" s="22"/>
      <c r="O42" s="22" t="str">
        <f t="shared" si="16"/>
        <v/>
      </c>
      <c r="P42" s="22" t="str">
        <f t="shared" si="17"/>
        <v/>
      </c>
      <c r="Q42" s="22" t="str">
        <f t="shared" si="18"/>
        <v/>
      </c>
      <c r="S42" s="22" t="str">
        <f>IF(D42="","","#2")</f>
        <v/>
      </c>
      <c r="T42" s="22" t="str">
        <f t="shared" si="6"/>
        <v/>
      </c>
    </row>
    <row r="43" spans="1:20" ht="17" thickBot="1" x14ac:dyDescent="0.25">
      <c r="A43" s="35"/>
      <c r="B43" s="38"/>
      <c r="C43" s="18">
        <v>3</v>
      </c>
      <c r="D43" s="18"/>
      <c r="E43" s="24" t="str">
        <f t="shared" si="13"/>
        <v/>
      </c>
      <c r="F43" s="24" t="str" cm="1">
        <f t="array" ref="F43">revcomp(E43)</f>
        <v/>
      </c>
      <c r="G43" s="24"/>
      <c r="H43" s="24" t="str">
        <f>IF(B41="","",B41&amp;"_KO"&amp;C43&amp;"R")</f>
        <v/>
      </c>
      <c r="I43" s="25" t="str">
        <f>IF(D43="","","tgcttagctctgaaac"&amp;F43&amp;"catgtttctggctttccacaag")</f>
        <v/>
      </c>
      <c r="J43" s="21"/>
      <c r="K43" s="22" t="str">
        <f t="shared" si="14"/>
        <v/>
      </c>
      <c r="L43" s="22"/>
      <c r="M43" s="22" t="str">
        <f t="shared" si="15"/>
        <v/>
      </c>
      <c r="N43" s="22"/>
      <c r="O43" s="22" t="str">
        <f t="shared" si="16"/>
        <v/>
      </c>
      <c r="P43" s="22" t="str">
        <f t="shared" si="17"/>
        <v/>
      </c>
      <c r="Q43" s="22" t="str">
        <f t="shared" si="18"/>
        <v/>
      </c>
      <c r="S43" s="22" t="str">
        <f>IF(D43="","","#3")</f>
        <v/>
      </c>
      <c r="T43" s="22" t="str">
        <f t="shared" si="6"/>
        <v/>
      </c>
    </row>
    <row r="44" spans="1:20" x14ac:dyDescent="0.2">
      <c r="A44" s="33">
        <v>13</v>
      </c>
      <c r="B44" s="36"/>
      <c r="C44" s="17">
        <v>1</v>
      </c>
      <c r="D44" s="17"/>
      <c r="E44" s="19" t="str">
        <f t="shared" ref="E44:E67" si="19">UPPER(LEFT(D44,20))</f>
        <v/>
      </c>
      <c r="F44" s="19" t="str" cm="1">
        <f t="array" ref="F44">revcomp(E44)</f>
        <v/>
      </c>
      <c r="G44" s="19"/>
      <c r="H44" s="19" t="str">
        <f>IF(B44="","",B44&amp;"_KO"&amp;C44&amp;"F")</f>
        <v/>
      </c>
      <c r="I44" s="20" t="str">
        <f>IF(D44="","","agaggccatgtttatg"&amp;E44&amp;"gtttaagagctaagctggaaacag")</f>
        <v/>
      </c>
      <c r="J44" s="21"/>
      <c r="K44" s="22" t="str">
        <f t="shared" ref="K44:K67" si="20">IF(H44="","",H44)</f>
        <v/>
      </c>
      <c r="L44" s="22"/>
      <c r="M44" s="22" t="str">
        <f t="shared" ref="M44:M67" si="21">IF(I44="","",I44)</f>
        <v/>
      </c>
      <c r="N44" s="22"/>
      <c r="O44" s="22" t="str">
        <f t="shared" ref="O44:O67" si="22">IF(M44="","","0.025")</f>
        <v/>
      </c>
      <c r="P44" s="22" t="str">
        <f t="shared" ref="P44:P67" si="23">IF(M44="","","Desalt")</f>
        <v/>
      </c>
      <c r="Q44" s="22" t="str">
        <f t="shared" ref="Q44:Q67" si="24">IF(M44="","","Dry")</f>
        <v/>
      </c>
      <c r="S44" s="22" t="str">
        <f>IF(D44="","","#1")</f>
        <v/>
      </c>
      <c r="T44" s="22" t="str">
        <f t="shared" si="6"/>
        <v/>
      </c>
    </row>
    <row r="45" spans="1:20" x14ac:dyDescent="0.2">
      <c r="A45" s="34"/>
      <c r="B45" s="37"/>
      <c r="C45" s="3">
        <v>2</v>
      </c>
      <c r="D45" s="3"/>
      <c r="E45" s="22" t="str">
        <f t="shared" si="19"/>
        <v/>
      </c>
      <c r="F45" s="22" t="str" cm="1">
        <f t="array" ref="F45">revcomp(E45)</f>
        <v/>
      </c>
      <c r="G45" s="22"/>
      <c r="H45" s="22" t="str">
        <f>IF(B44="","",B44&amp;"_KO"&amp;C45&amp;"R")</f>
        <v/>
      </c>
      <c r="I45" s="23" t="str">
        <f>IF(D45="","","tgcttagctctcaaac"&amp;F45&amp;"caacaaggtggttctccaaggg")</f>
        <v/>
      </c>
      <c r="J45" s="21"/>
      <c r="K45" s="22" t="str">
        <f t="shared" si="20"/>
        <v/>
      </c>
      <c r="L45" s="22"/>
      <c r="M45" s="22" t="str">
        <f t="shared" si="21"/>
        <v/>
      </c>
      <c r="N45" s="22"/>
      <c r="O45" s="22" t="str">
        <f t="shared" si="22"/>
        <v/>
      </c>
      <c r="P45" s="22" t="str">
        <f t="shared" si="23"/>
        <v/>
      </c>
      <c r="Q45" s="22" t="str">
        <f t="shared" si="24"/>
        <v/>
      </c>
      <c r="S45" s="22" t="str">
        <f>IF(D45="","","#2")</f>
        <v/>
      </c>
      <c r="T45" s="22" t="str">
        <f t="shared" si="6"/>
        <v/>
      </c>
    </row>
    <row r="46" spans="1:20" ht="17" thickBot="1" x14ac:dyDescent="0.25">
      <c r="A46" s="35"/>
      <c r="B46" s="38"/>
      <c r="C46" s="18">
        <v>3</v>
      </c>
      <c r="D46" s="18"/>
      <c r="E46" s="24" t="str">
        <f t="shared" si="19"/>
        <v/>
      </c>
      <c r="F46" s="24" t="str" cm="1">
        <f t="array" ref="F46">revcomp(E46)</f>
        <v/>
      </c>
      <c r="G46" s="24"/>
      <c r="H46" s="24" t="str">
        <f>IF(B44="","",B44&amp;"_KO"&amp;C46&amp;"R")</f>
        <v/>
      </c>
      <c r="I46" s="25" t="str">
        <f>IF(D46="","","tgcttagctctgaaac"&amp;F46&amp;"catgtttctggctttccacaag")</f>
        <v/>
      </c>
      <c r="J46" s="21"/>
      <c r="K46" s="22" t="str">
        <f t="shared" si="20"/>
        <v/>
      </c>
      <c r="L46" s="22"/>
      <c r="M46" s="22" t="str">
        <f t="shared" si="21"/>
        <v/>
      </c>
      <c r="N46" s="22"/>
      <c r="O46" s="22" t="str">
        <f t="shared" si="22"/>
        <v/>
      </c>
      <c r="P46" s="22" t="str">
        <f t="shared" si="23"/>
        <v/>
      </c>
      <c r="Q46" s="22" t="str">
        <f t="shared" si="24"/>
        <v/>
      </c>
      <c r="S46" s="22" t="str">
        <f>IF(D46="","","#3")</f>
        <v/>
      </c>
      <c r="T46" s="22" t="str">
        <f t="shared" si="6"/>
        <v/>
      </c>
    </row>
    <row r="47" spans="1:20" x14ac:dyDescent="0.2">
      <c r="A47" s="33">
        <v>14</v>
      </c>
      <c r="B47" s="36"/>
      <c r="C47" s="17">
        <v>1</v>
      </c>
      <c r="D47" s="17"/>
      <c r="E47" s="19" t="str">
        <f t="shared" si="19"/>
        <v/>
      </c>
      <c r="F47" s="19" t="str" cm="1">
        <f t="array" ref="F47">revcomp(E47)</f>
        <v/>
      </c>
      <c r="G47" s="19"/>
      <c r="H47" s="19" t="str">
        <f>IF(B47="","",B47&amp;"_KO"&amp;C47&amp;"F")</f>
        <v/>
      </c>
      <c r="I47" s="20" t="str">
        <f>IF(D47="","","agaggccatgtttatg"&amp;E47&amp;"gtttaagagctaagctggaaacag")</f>
        <v/>
      </c>
      <c r="J47" s="21"/>
      <c r="K47" s="22" t="str">
        <f t="shared" si="20"/>
        <v/>
      </c>
      <c r="L47" s="22"/>
      <c r="M47" s="22" t="str">
        <f t="shared" si="21"/>
        <v/>
      </c>
      <c r="N47" s="22"/>
      <c r="O47" s="22" t="str">
        <f t="shared" si="22"/>
        <v/>
      </c>
      <c r="P47" s="22" t="str">
        <f t="shared" si="23"/>
        <v/>
      </c>
      <c r="Q47" s="22" t="str">
        <f t="shared" si="24"/>
        <v/>
      </c>
      <c r="S47" s="22" t="str">
        <f>IF(D47="","","#1")</f>
        <v/>
      </c>
      <c r="T47" s="22" t="str">
        <f t="shared" si="6"/>
        <v/>
      </c>
    </row>
    <row r="48" spans="1:20" x14ac:dyDescent="0.2">
      <c r="A48" s="34"/>
      <c r="B48" s="37"/>
      <c r="C48" s="3">
        <v>2</v>
      </c>
      <c r="D48" s="3"/>
      <c r="E48" s="22" t="str">
        <f t="shared" si="19"/>
        <v/>
      </c>
      <c r="F48" s="22" t="str" cm="1">
        <f t="array" ref="F48">revcomp(E48)</f>
        <v/>
      </c>
      <c r="G48" s="22"/>
      <c r="H48" s="22" t="str">
        <f>IF(B47="","",B47&amp;"_KO"&amp;C48&amp;"R")</f>
        <v/>
      </c>
      <c r="I48" s="23" t="str">
        <f>IF(D48="","","tgcttagctctcaaac"&amp;F48&amp;"caacaaggtggttctccaaggg")</f>
        <v/>
      </c>
      <c r="J48" s="21"/>
      <c r="K48" s="22" t="str">
        <f t="shared" si="20"/>
        <v/>
      </c>
      <c r="L48" s="22"/>
      <c r="M48" s="22" t="str">
        <f t="shared" si="21"/>
        <v/>
      </c>
      <c r="N48" s="22"/>
      <c r="O48" s="22" t="str">
        <f t="shared" si="22"/>
        <v/>
      </c>
      <c r="P48" s="22" t="str">
        <f t="shared" si="23"/>
        <v/>
      </c>
      <c r="Q48" s="22" t="str">
        <f t="shared" si="24"/>
        <v/>
      </c>
      <c r="S48" s="22" t="str">
        <f>IF(D48="","","#2")</f>
        <v/>
      </c>
      <c r="T48" s="22" t="str">
        <f t="shared" si="6"/>
        <v/>
      </c>
    </row>
    <row r="49" spans="1:20" ht="17" thickBot="1" x14ac:dyDescent="0.25">
      <c r="A49" s="35"/>
      <c r="B49" s="38"/>
      <c r="C49" s="18">
        <v>3</v>
      </c>
      <c r="D49" s="18"/>
      <c r="E49" s="24" t="str">
        <f t="shared" si="19"/>
        <v/>
      </c>
      <c r="F49" s="24" t="str" cm="1">
        <f t="array" ref="F49">revcomp(E49)</f>
        <v/>
      </c>
      <c r="G49" s="24"/>
      <c r="H49" s="24" t="str">
        <f>IF(B47="","",B47&amp;"_KO"&amp;C49&amp;"R")</f>
        <v/>
      </c>
      <c r="I49" s="25" t="str">
        <f>IF(D49="","","tgcttagctctgaaac"&amp;F49&amp;"catgtttctggctttccacaag")</f>
        <v/>
      </c>
      <c r="J49" s="21"/>
      <c r="K49" s="22" t="str">
        <f t="shared" si="20"/>
        <v/>
      </c>
      <c r="L49" s="22"/>
      <c r="M49" s="22" t="str">
        <f t="shared" si="21"/>
        <v/>
      </c>
      <c r="N49" s="22"/>
      <c r="O49" s="22" t="str">
        <f t="shared" si="22"/>
        <v/>
      </c>
      <c r="P49" s="22" t="str">
        <f t="shared" si="23"/>
        <v/>
      </c>
      <c r="Q49" s="22" t="str">
        <f t="shared" si="24"/>
        <v/>
      </c>
      <c r="S49" s="22" t="str">
        <f>IF(D49="","","#3")</f>
        <v/>
      </c>
      <c r="T49" s="22" t="str">
        <f t="shared" si="6"/>
        <v/>
      </c>
    </row>
    <row r="50" spans="1:20" x14ac:dyDescent="0.2">
      <c r="A50" s="33">
        <v>15</v>
      </c>
      <c r="B50" s="36"/>
      <c r="C50" s="17">
        <v>1</v>
      </c>
      <c r="D50" s="17"/>
      <c r="E50" s="19" t="str">
        <f t="shared" si="19"/>
        <v/>
      </c>
      <c r="F50" s="19" t="str" cm="1">
        <f t="array" ref="F50">revcomp(E50)</f>
        <v/>
      </c>
      <c r="G50" s="19"/>
      <c r="H50" s="19" t="str">
        <f>IF(B50="","",B50&amp;"_KO"&amp;C50&amp;"F")</f>
        <v/>
      </c>
      <c r="I50" s="20" t="str">
        <f>IF(D50="","","agaggccatgtttatg"&amp;E50&amp;"gtttaagagctaagctggaaacag")</f>
        <v/>
      </c>
      <c r="J50" s="21"/>
      <c r="K50" s="22" t="str">
        <f t="shared" si="20"/>
        <v/>
      </c>
      <c r="L50" s="22"/>
      <c r="M50" s="22" t="str">
        <f t="shared" si="21"/>
        <v/>
      </c>
      <c r="N50" s="22"/>
      <c r="O50" s="22" t="str">
        <f t="shared" si="22"/>
        <v/>
      </c>
      <c r="P50" s="22" t="str">
        <f t="shared" si="23"/>
        <v/>
      </c>
      <c r="Q50" s="22" t="str">
        <f t="shared" si="24"/>
        <v/>
      </c>
      <c r="S50" s="22" t="str">
        <f>IF(D50="","","#1")</f>
        <v/>
      </c>
      <c r="T50" s="22" t="str">
        <f t="shared" si="6"/>
        <v/>
      </c>
    </row>
    <row r="51" spans="1:20" x14ac:dyDescent="0.2">
      <c r="A51" s="34"/>
      <c r="B51" s="37"/>
      <c r="C51" s="3">
        <v>2</v>
      </c>
      <c r="D51" s="3"/>
      <c r="E51" s="22" t="str">
        <f t="shared" si="19"/>
        <v/>
      </c>
      <c r="F51" s="22" t="str" cm="1">
        <f t="array" ref="F51">revcomp(E51)</f>
        <v/>
      </c>
      <c r="G51" s="22"/>
      <c r="H51" s="22" t="str">
        <f>IF(B50="","",B50&amp;"_KO"&amp;C51&amp;"R")</f>
        <v/>
      </c>
      <c r="I51" s="23" t="str">
        <f>IF(D51="","","tgcttagctctcaaac"&amp;F51&amp;"caacaaggtggttctccaaggg")</f>
        <v/>
      </c>
      <c r="J51" s="21"/>
      <c r="K51" s="22" t="str">
        <f t="shared" si="20"/>
        <v/>
      </c>
      <c r="L51" s="22"/>
      <c r="M51" s="22" t="str">
        <f t="shared" si="21"/>
        <v/>
      </c>
      <c r="N51" s="22"/>
      <c r="O51" s="22" t="str">
        <f t="shared" si="22"/>
        <v/>
      </c>
      <c r="P51" s="22" t="str">
        <f t="shared" si="23"/>
        <v/>
      </c>
      <c r="Q51" s="22" t="str">
        <f t="shared" si="24"/>
        <v/>
      </c>
      <c r="S51" s="22" t="str">
        <f>IF(D51="","","#2")</f>
        <v/>
      </c>
      <c r="T51" s="22" t="str">
        <f t="shared" si="6"/>
        <v/>
      </c>
    </row>
    <row r="52" spans="1:20" ht="17" thickBot="1" x14ac:dyDescent="0.25">
      <c r="A52" s="35"/>
      <c r="B52" s="38"/>
      <c r="C52" s="18">
        <v>3</v>
      </c>
      <c r="D52" s="18"/>
      <c r="E52" s="24" t="str">
        <f t="shared" si="19"/>
        <v/>
      </c>
      <c r="F52" s="24" t="str" cm="1">
        <f t="array" ref="F52">revcomp(E52)</f>
        <v/>
      </c>
      <c r="G52" s="24"/>
      <c r="H52" s="24" t="str">
        <f>IF(B50="","",B50&amp;"_KO"&amp;C52&amp;"R")</f>
        <v/>
      </c>
      <c r="I52" s="25" t="str">
        <f>IF(D52="","","tgcttagctctgaaac"&amp;F52&amp;"catgtttctggctttccacaag")</f>
        <v/>
      </c>
      <c r="J52" s="21"/>
      <c r="K52" s="22" t="str">
        <f t="shared" si="20"/>
        <v/>
      </c>
      <c r="L52" s="22"/>
      <c r="M52" s="22" t="str">
        <f t="shared" si="21"/>
        <v/>
      </c>
      <c r="N52" s="22"/>
      <c r="O52" s="22" t="str">
        <f t="shared" si="22"/>
        <v/>
      </c>
      <c r="P52" s="22" t="str">
        <f t="shared" si="23"/>
        <v/>
      </c>
      <c r="Q52" s="22" t="str">
        <f t="shared" si="24"/>
        <v/>
      </c>
      <c r="S52" s="22" t="str">
        <f>IF(D52="","","#3")</f>
        <v/>
      </c>
      <c r="T52" s="22" t="str">
        <f t="shared" si="6"/>
        <v/>
      </c>
    </row>
    <row r="53" spans="1:20" x14ac:dyDescent="0.2">
      <c r="A53" s="33">
        <v>16</v>
      </c>
      <c r="B53" s="36"/>
      <c r="C53" s="17">
        <v>1</v>
      </c>
      <c r="D53" s="17"/>
      <c r="E53" s="19" t="str">
        <f t="shared" si="19"/>
        <v/>
      </c>
      <c r="F53" s="19" t="str" cm="1">
        <f t="array" ref="F53">revcomp(E53)</f>
        <v/>
      </c>
      <c r="G53" s="19"/>
      <c r="H53" s="19" t="str">
        <f>IF(B53="","",B53&amp;"_KO"&amp;C53&amp;"F")</f>
        <v/>
      </c>
      <c r="I53" s="20" t="str">
        <f>IF(D53="","","agaggccatgtttatg"&amp;E53&amp;"gtttaagagctaagctggaaacag")</f>
        <v/>
      </c>
      <c r="J53" s="21"/>
      <c r="K53" s="22" t="str">
        <f t="shared" si="20"/>
        <v/>
      </c>
      <c r="L53" s="22"/>
      <c r="M53" s="22" t="str">
        <f t="shared" si="21"/>
        <v/>
      </c>
      <c r="N53" s="22"/>
      <c r="O53" s="22" t="str">
        <f t="shared" si="22"/>
        <v/>
      </c>
      <c r="P53" s="22" t="str">
        <f t="shared" si="23"/>
        <v/>
      </c>
      <c r="Q53" s="22" t="str">
        <f t="shared" si="24"/>
        <v/>
      </c>
      <c r="S53" s="22" t="str">
        <f>IF(D53="","","#1")</f>
        <v/>
      </c>
      <c r="T53" s="22" t="str">
        <f t="shared" si="6"/>
        <v/>
      </c>
    </row>
    <row r="54" spans="1:20" x14ac:dyDescent="0.2">
      <c r="A54" s="34"/>
      <c r="B54" s="37"/>
      <c r="C54" s="3">
        <v>2</v>
      </c>
      <c r="D54" s="3"/>
      <c r="E54" s="22" t="str">
        <f t="shared" si="19"/>
        <v/>
      </c>
      <c r="F54" s="22" t="str" cm="1">
        <f t="array" ref="F54">revcomp(E54)</f>
        <v/>
      </c>
      <c r="G54" s="22"/>
      <c r="H54" s="22" t="str">
        <f>IF(B53="","",B53&amp;"_KO"&amp;C54&amp;"R")</f>
        <v/>
      </c>
      <c r="I54" s="23" t="str">
        <f>IF(D54="","","tgcttagctctcaaac"&amp;F54&amp;"caacaaggtggttctccaaggg")</f>
        <v/>
      </c>
      <c r="J54" s="21"/>
      <c r="K54" s="22" t="str">
        <f t="shared" si="20"/>
        <v/>
      </c>
      <c r="L54" s="22"/>
      <c r="M54" s="22" t="str">
        <f t="shared" si="21"/>
        <v/>
      </c>
      <c r="N54" s="22"/>
      <c r="O54" s="22" t="str">
        <f t="shared" si="22"/>
        <v/>
      </c>
      <c r="P54" s="22" t="str">
        <f t="shared" si="23"/>
        <v/>
      </c>
      <c r="Q54" s="22" t="str">
        <f t="shared" si="24"/>
        <v/>
      </c>
      <c r="S54" s="22" t="str">
        <f>IF(D54="","","#2")</f>
        <v/>
      </c>
      <c r="T54" s="22" t="str">
        <f t="shared" si="6"/>
        <v/>
      </c>
    </row>
    <row r="55" spans="1:20" ht="17" thickBot="1" x14ac:dyDescent="0.25">
      <c r="A55" s="35"/>
      <c r="B55" s="38"/>
      <c r="C55" s="18">
        <v>3</v>
      </c>
      <c r="D55" s="18"/>
      <c r="E55" s="24" t="str">
        <f t="shared" si="19"/>
        <v/>
      </c>
      <c r="F55" s="24" t="str" cm="1">
        <f t="array" ref="F55">revcomp(E55)</f>
        <v/>
      </c>
      <c r="G55" s="24"/>
      <c r="H55" s="24" t="str">
        <f>IF(B53="","",B53&amp;"_KO"&amp;C55&amp;"R")</f>
        <v/>
      </c>
      <c r="I55" s="25" t="str">
        <f>IF(D55="","","tgcttagctctgaaac"&amp;F55&amp;"catgtttctggctttccacaag")</f>
        <v/>
      </c>
      <c r="J55" s="21"/>
      <c r="K55" s="22" t="str">
        <f t="shared" si="20"/>
        <v/>
      </c>
      <c r="L55" s="22"/>
      <c r="M55" s="22" t="str">
        <f t="shared" si="21"/>
        <v/>
      </c>
      <c r="N55" s="22"/>
      <c r="O55" s="22" t="str">
        <f t="shared" si="22"/>
        <v/>
      </c>
      <c r="P55" s="22" t="str">
        <f t="shared" si="23"/>
        <v/>
      </c>
      <c r="Q55" s="22" t="str">
        <f t="shared" si="24"/>
        <v/>
      </c>
      <c r="S55" s="22" t="str">
        <f>IF(D55="","","#3")</f>
        <v/>
      </c>
      <c r="T55" s="22" t="str">
        <f t="shared" si="6"/>
        <v/>
      </c>
    </row>
    <row r="56" spans="1:20" x14ac:dyDescent="0.2">
      <c r="A56" s="33">
        <v>17</v>
      </c>
      <c r="B56" s="36"/>
      <c r="C56" s="17">
        <v>1</v>
      </c>
      <c r="D56" s="17"/>
      <c r="E56" s="19" t="str">
        <f t="shared" si="19"/>
        <v/>
      </c>
      <c r="F56" s="19" t="str" cm="1">
        <f t="array" ref="F56">revcomp(E56)</f>
        <v/>
      </c>
      <c r="G56" s="19"/>
      <c r="H56" s="19" t="str">
        <f>IF(B56="","",B56&amp;"_KO"&amp;C56&amp;"F")</f>
        <v/>
      </c>
      <c r="I56" s="20" t="str">
        <f>IF(D56="","","agaggccatgtttatg"&amp;E56&amp;"gtttaagagctaagctggaaacag")</f>
        <v/>
      </c>
      <c r="J56" s="21"/>
      <c r="K56" s="22" t="str">
        <f t="shared" si="20"/>
        <v/>
      </c>
      <c r="L56" s="22"/>
      <c r="M56" s="22" t="str">
        <f t="shared" si="21"/>
        <v/>
      </c>
      <c r="N56" s="22"/>
      <c r="O56" s="22" t="str">
        <f t="shared" si="22"/>
        <v/>
      </c>
      <c r="P56" s="22" t="str">
        <f t="shared" si="23"/>
        <v/>
      </c>
      <c r="Q56" s="22" t="str">
        <f t="shared" si="24"/>
        <v/>
      </c>
      <c r="S56" s="22" t="str">
        <f>IF(D56="","","#1")</f>
        <v/>
      </c>
      <c r="T56" s="22" t="str">
        <f t="shared" si="6"/>
        <v/>
      </c>
    </row>
    <row r="57" spans="1:20" x14ac:dyDescent="0.2">
      <c r="A57" s="34"/>
      <c r="B57" s="37"/>
      <c r="C57" s="3">
        <v>2</v>
      </c>
      <c r="D57" s="3"/>
      <c r="E57" s="22" t="str">
        <f t="shared" si="19"/>
        <v/>
      </c>
      <c r="F57" s="22" t="str" cm="1">
        <f t="array" ref="F57">revcomp(E57)</f>
        <v/>
      </c>
      <c r="G57" s="22"/>
      <c r="H57" s="22" t="str">
        <f>IF(B56="","",B56&amp;"_KO"&amp;C57&amp;"R")</f>
        <v/>
      </c>
      <c r="I57" s="23" t="str">
        <f>IF(D57="","","tgcttagctctcaaac"&amp;F57&amp;"caacaaggtggttctccaaggg")</f>
        <v/>
      </c>
      <c r="J57" s="21"/>
      <c r="K57" s="22" t="str">
        <f t="shared" si="20"/>
        <v/>
      </c>
      <c r="L57" s="22"/>
      <c r="M57" s="22" t="str">
        <f t="shared" si="21"/>
        <v/>
      </c>
      <c r="N57" s="22"/>
      <c r="O57" s="22" t="str">
        <f t="shared" si="22"/>
        <v/>
      </c>
      <c r="P57" s="22" t="str">
        <f t="shared" si="23"/>
        <v/>
      </c>
      <c r="Q57" s="22" t="str">
        <f t="shared" si="24"/>
        <v/>
      </c>
      <c r="S57" s="22" t="str">
        <f>IF(D57="","","#2")</f>
        <v/>
      </c>
      <c r="T57" s="22" t="str">
        <f t="shared" si="6"/>
        <v/>
      </c>
    </row>
    <row r="58" spans="1:20" ht="17" thickBot="1" x14ac:dyDescent="0.25">
      <c r="A58" s="35"/>
      <c r="B58" s="38"/>
      <c r="C58" s="18">
        <v>3</v>
      </c>
      <c r="D58" s="18"/>
      <c r="E58" s="24" t="str">
        <f t="shared" si="19"/>
        <v/>
      </c>
      <c r="F58" s="24" t="str" cm="1">
        <f t="array" ref="F58">revcomp(E58)</f>
        <v/>
      </c>
      <c r="G58" s="24"/>
      <c r="H58" s="24" t="str">
        <f>IF(B56="","",B56&amp;"_KO"&amp;C58&amp;"R")</f>
        <v/>
      </c>
      <c r="I58" s="25" t="str">
        <f>IF(D58="","","tgcttagctctgaaac"&amp;F58&amp;"catgtttctggctttccacaag")</f>
        <v/>
      </c>
      <c r="J58" s="21"/>
      <c r="K58" s="22" t="str">
        <f t="shared" si="20"/>
        <v/>
      </c>
      <c r="L58" s="22"/>
      <c r="M58" s="22" t="str">
        <f t="shared" si="21"/>
        <v/>
      </c>
      <c r="N58" s="22"/>
      <c r="O58" s="22" t="str">
        <f t="shared" si="22"/>
        <v/>
      </c>
      <c r="P58" s="22" t="str">
        <f t="shared" si="23"/>
        <v/>
      </c>
      <c r="Q58" s="22" t="str">
        <f t="shared" si="24"/>
        <v/>
      </c>
      <c r="S58" s="22" t="str">
        <f>IF(D58="","","#3")</f>
        <v/>
      </c>
      <c r="T58" s="22" t="str">
        <f t="shared" si="6"/>
        <v/>
      </c>
    </row>
    <row r="59" spans="1:20" x14ac:dyDescent="0.2">
      <c r="A59" s="33">
        <v>18</v>
      </c>
      <c r="B59" s="36"/>
      <c r="C59" s="17">
        <v>1</v>
      </c>
      <c r="D59" s="17"/>
      <c r="E59" s="19" t="str">
        <f t="shared" si="19"/>
        <v/>
      </c>
      <c r="F59" s="19" t="str" cm="1">
        <f t="array" ref="F59">revcomp(E59)</f>
        <v/>
      </c>
      <c r="G59" s="19"/>
      <c r="H59" s="19" t="str">
        <f>IF(B59="","",B59&amp;"_KO"&amp;C59&amp;"F")</f>
        <v/>
      </c>
      <c r="I59" s="20" t="str">
        <f>IF(D59="","","agaggccatgtttatg"&amp;E59&amp;"gtttaagagctaagctggaaacag")</f>
        <v/>
      </c>
      <c r="J59" s="21"/>
      <c r="K59" s="22" t="str">
        <f t="shared" si="20"/>
        <v/>
      </c>
      <c r="L59" s="22"/>
      <c r="M59" s="22" t="str">
        <f t="shared" si="21"/>
        <v/>
      </c>
      <c r="N59" s="22"/>
      <c r="O59" s="22" t="str">
        <f t="shared" si="22"/>
        <v/>
      </c>
      <c r="P59" s="22" t="str">
        <f t="shared" si="23"/>
        <v/>
      </c>
      <c r="Q59" s="22" t="str">
        <f t="shared" si="24"/>
        <v/>
      </c>
      <c r="S59" s="22" t="str">
        <f>IF(D59="","","#1")</f>
        <v/>
      </c>
      <c r="T59" s="22" t="str">
        <f t="shared" si="6"/>
        <v/>
      </c>
    </row>
    <row r="60" spans="1:20" x14ac:dyDescent="0.2">
      <c r="A60" s="34"/>
      <c r="B60" s="37"/>
      <c r="C60" s="3">
        <v>2</v>
      </c>
      <c r="D60" s="3"/>
      <c r="E60" s="22" t="str">
        <f t="shared" si="19"/>
        <v/>
      </c>
      <c r="F60" s="22" t="str" cm="1">
        <f t="array" ref="F60">revcomp(E60)</f>
        <v/>
      </c>
      <c r="G60" s="22"/>
      <c r="H60" s="22" t="str">
        <f>IF(B59="","",B59&amp;"_KO"&amp;C60&amp;"R")</f>
        <v/>
      </c>
      <c r="I60" s="23" t="str">
        <f>IF(D60="","","tgcttagctctcaaac"&amp;F60&amp;"caacaaggtggttctccaaggg")</f>
        <v/>
      </c>
      <c r="J60" s="21"/>
      <c r="K60" s="22" t="str">
        <f t="shared" si="20"/>
        <v/>
      </c>
      <c r="L60" s="22"/>
      <c r="M60" s="22" t="str">
        <f t="shared" si="21"/>
        <v/>
      </c>
      <c r="N60" s="22"/>
      <c r="O60" s="22" t="str">
        <f t="shared" si="22"/>
        <v/>
      </c>
      <c r="P60" s="22" t="str">
        <f t="shared" si="23"/>
        <v/>
      </c>
      <c r="Q60" s="22" t="str">
        <f t="shared" si="24"/>
        <v/>
      </c>
      <c r="S60" s="22" t="str">
        <f>IF(D60="","","#2")</f>
        <v/>
      </c>
      <c r="T60" s="22" t="str">
        <f t="shared" si="6"/>
        <v/>
      </c>
    </row>
    <row r="61" spans="1:20" ht="17" thickBot="1" x14ac:dyDescent="0.25">
      <c r="A61" s="35"/>
      <c r="B61" s="38"/>
      <c r="C61" s="18">
        <v>3</v>
      </c>
      <c r="D61" s="18"/>
      <c r="E61" s="24" t="str">
        <f t="shared" si="19"/>
        <v/>
      </c>
      <c r="F61" s="24" t="str" cm="1">
        <f t="array" ref="F61">revcomp(E61)</f>
        <v/>
      </c>
      <c r="G61" s="24"/>
      <c r="H61" s="24" t="str">
        <f>IF(B59="","",B59&amp;"_KO"&amp;C61&amp;"R")</f>
        <v/>
      </c>
      <c r="I61" s="25" t="str">
        <f>IF(D61="","","tgcttagctctgaaac"&amp;F61&amp;"catgtttctggctttccacaag")</f>
        <v/>
      </c>
      <c r="J61" s="21"/>
      <c r="K61" s="22" t="str">
        <f t="shared" si="20"/>
        <v/>
      </c>
      <c r="L61" s="22"/>
      <c r="M61" s="22" t="str">
        <f t="shared" si="21"/>
        <v/>
      </c>
      <c r="N61" s="22"/>
      <c r="O61" s="22" t="str">
        <f t="shared" si="22"/>
        <v/>
      </c>
      <c r="P61" s="22" t="str">
        <f t="shared" si="23"/>
        <v/>
      </c>
      <c r="Q61" s="22" t="str">
        <f t="shared" si="24"/>
        <v/>
      </c>
      <c r="S61" s="22" t="str">
        <f>IF(D61="","","#3")</f>
        <v/>
      </c>
      <c r="T61" s="22" t="str">
        <f t="shared" si="6"/>
        <v/>
      </c>
    </row>
    <row r="62" spans="1:20" x14ac:dyDescent="0.2">
      <c r="A62" s="33">
        <v>19</v>
      </c>
      <c r="B62" s="36"/>
      <c r="C62" s="17">
        <v>1</v>
      </c>
      <c r="D62" s="17"/>
      <c r="E62" s="19" t="str">
        <f t="shared" si="19"/>
        <v/>
      </c>
      <c r="F62" s="19" t="str" cm="1">
        <f t="array" ref="F62">revcomp(E62)</f>
        <v/>
      </c>
      <c r="G62" s="19"/>
      <c r="H62" s="19" t="str">
        <f>IF(B62="","",B62&amp;"_KO"&amp;C62&amp;"F")</f>
        <v/>
      </c>
      <c r="I62" s="20" t="str">
        <f>IF(D62="","","agaggccatgtttatg"&amp;E62&amp;"gtttaagagctaagctggaaacag")</f>
        <v/>
      </c>
      <c r="J62" s="21"/>
      <c r="K62" s="22" t="str">
        <f t="shared" si="20"/>
        <v/>
      </c>
      <c r="L62" s="22"/>
      <c r="M62" s="22" t="str">
        <f t="shared" si="21"/>
        <v/>
      </c>
      <c r="N62" s="22"/>
      <c r="O62" s="22" t="str">
        <f t="shared" si="22"/>
        <v/>
      </c>
      <c r="P62" s="22" t="str">
        <f t="shared" si="23"/>
        <v/>
      </c>
      <c r="Q62" s="22" t="str">
        <f t="shared" si="24"/>
        <v/>
      </c>
      <c r="S62" s="22" t="str">
        <f>IF(D62="","","#1")</f>
        <v/>
      </c>
      <c r="T62" s="22" t="str">
        <f t="shared" si="6"/>
        <v/>
      </c>
    </row>
    <row r="63" spans="1:20" x14ac:dyDescent="0.2">
      <c r="A63" s="34"/>
      <c r="B63" s="37"/>
      <c r="C63" s="3">
        <v>2</v>
      </c>
      <c r="D63" s="3"/>
      <c r="E63" s="22" t="str">
        <f t="shared" si="19"/>
        <v/>
      </c>
      <c r="F63" s="22" t="str" cm="1">
        <f t="array" ref="F63">revcomp(E63)</f>
        <v/>
      </c>
      <c r="G63" s="22"/>
      <c r="H63" s="22" t="str">
        <f>IF(B62="","",B62&amp;"_KO"&amp;C63&amp;"R")</f>
        <v/>
      </c>
      <c r="I63" s="23" t="str">
        <f>IF(D63="","","tgcttagctctcaaac"&amp;F63&amp;"caacaaggtggttctccaaggg")</f>
        <v/>
      </c>
      <c r="J63" s="21"/>
      <c r="K63" s="22" t="str">
        <f t="shared" si="20"/>
        <v/>
      </c>
      <c r="L63" s="22"/>
      <c r="M63" s="22" t="str">
        <f t="shared" si="21"/>
        <v/>
      </c>
      <c r="N63" s="22"/>
      <c r="O63" s="22" t="str">
        <f t="shared" si="22"/>
        <v/>
      </c>
      <c r="P63" s="22" t="str">
        <f t="shared" si="23"/>
        <v/>
      </c>
      <c r="Q63" s="22" t="str">
        <f t="shared" si="24"/>
        <v/>
      </c>
      <c r="S63" s="22" t="str">
        <f>IF(D63="","","#2")</f>
        <v/>
      </c>
      <c r="T63" s="22" t="str">
        <f t="shared" si="6"/>
        <v/>
      </c>
    </row>
    <row r="64" spans="1:20" ht="17" thickBot="1" x14ac:dyDescent="0.25">
      <c r="A64" s="35"/>
      <c r="B64" s="38"/>
      <c r="C64" s="18">
        <v>3</v>
      </c>
      <c r="D64" s="18"/>
      <c r="E64" s="24" t="str">
        <f t="shared" si="19"/>
        <v/>
      </c>
      <c r="F64" s="24" t="str" cm="1">
        <f t="array" ref="F64">revcomp(E64)</f>
        <v/>
      </c>
      <c r="G64" s="24"/>
      <c r="H64" s="24" t="str">
        <f>IF(B62="","",B62&amp;"_KO"&amp;C64&amp;"R")</f>
        <v/>
      </c>
      <c r="I64" s="25" t="str">
        <f>IF(D64="","","tgcttagctctgaaac"&amp;F64&amp;"catgtttctggctttccacaag")</f>
        <v/>
      </c>
      <c r="J64" s="21"/>
      <c r="K64" s="22" t="str">
        <f t="shared" si="20"/>
        <v/>
      </c>
      <c r="L64" s="22"/>
      <c r="M64" s="22" t="str">
        <f t="shared" si="21"/>
        <v/>
      </c>
      <c r="N64" s="22"/>
      <c r="O64" s="22" t="str">
        <f t="shared" si="22"/>
        <v/>
      </c>
      <c r="P64" s="22" t="str">
        <f t="shared" si="23"/>
        <v/>
      </c>
      <c r="Q64" s="22" t="str">
        <f t="shared" si="24"/>
        <v/>
      </c>
      <c r="S64" s="22" t="str">
        <f>IF(D64="","","#3")</f>
        <v/>
      </c>
      <c r="T64" s="22" t="str">
        <f t="shared" si="6"/>
        <v/>
      </c>
    </row>
    <row r="65" spans="1:20" x14ac:dyDescent="0.2">
      <c r="A65" s="33">
        <v>20</v>
      </c>
      <c r="B65" s="36"/>
      <c r="C65" s="17">
        <v>1</v>
      </c>
      <c r="D65" s="17"/>
      <c r="E65" s="19" t="str">
        <f t="shared" si="19"/>
        <v/>
      </c>
      <c r="F65" s="19" t="str" cm="1">
        <f t="array" ref="F65">revcomp(E65)</f>
        <v/>
      </c>
      <c r="G65" s="19"/>
      <c r="H65" s="19" t="str">
        <f>IF(B65="","",B65&amp;"_KO"&amp;C65&amp;"F")</f>
        <v/>
      </c>
      <c r="I65" s="20" t="str">
        <f>IF(D65="","","agaggccatgtttatg"&amp;E65&amp;"gtttaagagctaagctggaaacag")</f>
        <v/>
      </c>
      <c r="J65" s="21"/>
      <c r="K65" s="22" t="str">
        <f t="shared" si="20"/>
        <v/>
      </c>
      <c r="L65" s="22"/>
      <c r="M65" s="22" t="str">
        <f t="shared" si="21"/>
        <v/>
      </c>
      <c r="N65" s="22"/>
      <c r="O65" s="22" t="str">
        <f t="shared" si="22"/>
        <v/>
      </c>
      <c r="P65" s="22" t="str">
        <f t="shared" si="23"/>
        <v/>
      </c>
      <c r="Q65" s="22" t="str">
        <f t="shared" si="24"/>
        <v/>
      </c>
      <c r="S65" s="22" t="str">
        <f>IF(D65="","","#1")</f>
        <v/>
      </c>
      <c r="T65" s="22" t="str">
        <f t="shared" si="6"/>
        <v/>
      </c>
    </row>
    <row r="66" spans="1:20" x14ac:dyDescent="0.2">
      <c r="A66" s="34"/>
      <c r="B66" s="37"/>
      <c r="C66" s="3">
        <v>2</v>
      </c>
      <c r="D66" s="3"/>
      <c r="E66" s="22" t="str">
        <f t="shared" si="19"/>
        <v/>
      </c>
      <c r="F66" s="22" t="str" cm="1">
        <f t="array" ref="F66">revcomp(E66)</f>
        <v/>
      </c>
      <c r="G66" s="22"/>
      <c r="H66" s="22" t="str">
        <f>IF(B65="","",B65&amp;"_KO"&amp;C66&amp;"R")</f>
        <v/>
      </c>
      <c r="I66" s="23" t="str">
        <f>IF(D66="","","tgcttagctctcaaac"&amp;F66&amp;"caacaaggtggttctccaaggg")</f>
        <v/>
      </c>
      <c r="J66" s="21"/>
      <c r="K66" s="22" t="str">
        <f t="shared" si="20"/>
        <v/>
      </c>
      <c r="L66" s="22"/>
      <c r="M66" s="22" t="str">
        <f t="shared" si="21"/>
        <v/>
      </c>
      <c r="N66" s="22"/>
      <c r="O66" s="22" t="str">
        <f t="shared" si="22"/>
        <v/>
      </c>
      <c r="P66" s="22" t="str">
        <f t="shared" si="23"/>
        <v/>
      </c>
      <c r="Q66" s="22" t="str">
        <f t="shared" si="24"/>
        <v/>
      </c>
      <c r="S66" s="22" t="str">
        <f>IF(D66="","","#2")</f>
        <v/>
      </c>
      <c r="T66" s="22" t="str">
        <f t="shared" si="6"/>
        <v/>
      </c>
    </row>
    <row r="67" spans="1:20" ht="17" thickBot="1" x14ac:dyDescent="0.25">
      <c r="A67" s="35"/>
      <c r="B67" s="38"/>
      <c r="C67" s="18">
        <v>3</v>
      </c>
      <c r="D67" s="18"/>
      <c r="E67" s="24" t="str">
        <f t="shared" si="19"/>
        <v/>
      </c>
      <c r="F67" s="24" t="str" cm="1">
        <f t="array" ref="F67">revcomp(E67)</f>
        <v/>
      </c>
      <c r="G67" s="24"/>
      <c r="H67" s="24" t="str">
        <f>IF(B65="","",B65&amp;"_KO"&amp;C67&amp;"R")</f>
        <v/>
      </c>
      <c r="I67" s="25" t="str">
        <f>IF(D67="","","tgcttagctctgaaac"&amp;F67&amp;"catgtttctggctttccacaag")</f>
        <v/>
      </c>
      <c r="J67" s="21"/>
      <c r="K67" s="22" t="str">
        <f t="shared" si="20"/>
        <v/>
      </c>
      <c r="L67" s="22"/>
      <c r="M67" s="22" t="str">
        <f t="shared" si="21"/>
        <v/>
      </c>
      <c r="N67" s="22"/>
      <c r="O67" s="22" t="str">
        <f t="shared" si="22"/>
        <v/>
      </c>
      <c r="P67" s="22" t="str">
        <f t="shared" si="23"/>
        <v/>
      </c>
      <c r="Q67" s="22" t="str">
        <f t="shared" si="24"/>
        <v/>
      </c>
      <c r="S67" s="22" t="str">
        <f>IF(D67="","","#3")</f>
        <v/>
      </c>
      <c r="T67" s="22" t="str">
        <f t="shared" ref="T67" si="25">IF(E67="","",E67)</f>
        <v/>
      </c>
    </row>
  </sheetData>
  <sheetProtection algorithmName="SHA-512" hashValue="cGhzPgd3ZqrF6UkcRgK1Gj8JdF/8HFn+S1opRkRI3H242aCZv98x//AD+FYomIixxblUYymhhhucj/8kIWHiVw==" saltValue="hZcU5yYbBeAwkofBZTbvGg==" spinCount="100000" sheet="1" objects="1" scenarios="1"/>
  <mergeCells count="44">
    <mergeCell ref="A65:A67"/>
    <mergeCell ref="B65:B67"/>
    <mergeCell ref="A56:A58"/>
    <mergeCell ref="B56:B58"/>
    <mergeCell ref="A59:A61"/>
    <mergeCell ref="B59:B61"/>
    <mergeCell ref="A62:A64"/>
    <mergeCell ref="B62:B64"/>
    <mergeCell ref="A47:A49"/>
    <mergeCell ref="B47:B49"/>
    <mergeCell ref="A50:A52"/>
    <mergeCell ref="B50:B52"/>
    <mergeCell ref="A53:A55"/>
    <mergeCell ref="B53:B55"/>
    <mergeCell ref="A38:A40"/>
    <mergeCell ref="B38:B40"/>
    <mergeCell ref="A41:A43"/>
    <mergeCell ref="B41:B43"/>
    <mergeCell ref="A44:A46"/>
    <mergeCell ref="B44:B46"/>
    <mergeCell ref="A29:A31"/>
    <mergeCell ref="B29:B31"/>
    <mergeCell ref="A32:A34"/>
    <mergeCell ref="B32:B34"/>
    <mergeCell ref="A35:A37"/>
    <mergeCell ref="B35:B37"/>
    <mergeCell ref="A20:A22"/>
    <mergeCell ref="B20:B22"/>
    <mergeCell ref="A23:A25"/>
    <mergeCell ref="B23:B25"/>
    <mergeCell ref="A26:A28"/>
    <mergeCell ref="B26:B28"/>
    <mergeCell ref="A11:A13"/>
    <mergeCell ref="B11:B13"/>
    <mergeCell ref="A14:A16"/>
    <mergeCell ref="B14:B16"/>
    <mergeCell ref="A17:A19"/>
    <mergeCell ref="B17:B19"/>
    <mergeCell ref="A2:A4"/>
    <mergeCell ref="B2:B4"/>
    <mergeCell ref="A5:A7"/>
    <mergeCell ref="B5:B7"/>
    <mergeCell ref="A8:A10"/>
    <mergeCell ref="B8: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2021-11-11T18:37:44Z</dcterms:created>
  <dcterms:modified xsi:type="dcterms:W3CDTF">2022-01-28T23:11:34Z</dcterms:modified>
</cp:coreProperties>
</file>