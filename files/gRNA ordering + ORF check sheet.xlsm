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ki/Desktop/gRNA ordering sheets/"/>
    </mc:Choice>
  </mc:AlternateContent>
  <xr:revisionPtr revIDLastSave="0" documentId="13_ncr:1_{C0D1B413-1278-AA4F-BBB8-AE784B73C5D9}" xr6:coauthVersionLast="47" xr6:coauthVersionMax="47" xr10:uidLastSave="{00000000-0000-0000-0000-000000000000}"/>
  <workbookProtection workbookAlgorithmName="SHA-512" workbookHashValue="dy6R9O2raaiZkvELKV41Vsy/5oofz/hXVp3q68zCweZBSNEaqOzVqwuMJUUgMbdz3cdDIoMHke0nXMkomtlQAQ==" workbookSaltValue="5wKeIavXSwLKhU8ObISdCw==" workbookSpinCount="100000" lockStructure="1"/>
  <bookViews>
    <workbookView xWindow="0" yWindow="500" windowWidth="40960" windowHeight="22540" xr2:uid="{D56AC15B-1356-124B-9D13-1F01AE7E3D46}"/>
  </bookViews>
  <sheets>
    <sheet name="Sheet1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" l="1"/>
  <c r="S4" i="1"/>
  <c r="U4" i="1"/>
  <c r="W4" i="1"/>
  <c r="G11" i="1"/>
  <c r="G10" i="1"/>
  <c r="G9" i="1"/>
  <c r="G8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U5" i="1"/>
  <c r="U2" i="1"/>
  <c r="U3" i="1"/>
  <c r="S3" i="1"/>
  <c r="S2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3" i="1"/>
  <c r="R2" i="1"/>
  <c r="Q2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J2" i="1"/>
  <c r="L23" i="1" l="1"/>
  <c r="U45" i="1" s="1"/>
  <c r="J23" i="1"/>
  <c r="U44" i="1" s="1"/>
  <c r="G23" i="1"/>
  <c r="L22" i="1"/>
  <c r="U43" i="1" s="1"/>
  <c r="J22" i="1"/>
  <c r="U42" i="1" s="1"/>
  <c r="G22" i="1"/>
  <c r="L21" i="1"/>
  <c r="U41" i="1" s="1"/>
  <c r="J21" i="1"/>
  <c r="U40" i="1" s="1"/>
  <c r="G21" i="1"/>
  <c r="L20" i="1"/>
  <c r="U39" i="1" s="1"/>
  <c r="J20" i="1"/>
  <c r="U38" i="1" s="1"/>
  <c r="G20" i="1"/>
  <c r="L19" i="1"/>
  <c r="U37" i="1" s="1"/>
  <c r="J19" i="1"/>
  <c r="U36" i="1" s="1"/>
  <c r="G19" i="1"/>
  <c r="L18" i="1"/>
  <c r="U35" i="1" s="1"/>
  <c r="J18" i="1"/>
  <c r="U34" i="1" s="1"/>
  <c r="G18" i="1"/>
  <c r="L17" i="1"/>
  <c r="U33" i="1" s="1"/>
  <c r="J17" i="1"/>
  <c r="U32" i="1" s="1"/>
  <c r="G17" i="1"/>
  <c r="L16" i="1"/>
  <c r="U31" i="1" s="1"/>
  <c r="J16" i="1"/>
  <c r="U30" i="1" s="1"/>
  <c r="G16" i="1"/>
  <c r="L15" i="1"/>
  <c r="U29" i="1" s="1"/>
  <c r="J15" i="1"/>
  <c r="U28" i="1" s="1"/>
  <c r="G15" i="1"/>
  <c r="L14" i="1"/>
  <c r="U27" i="1" s="1"/>
  <c r="J14" i="1"/>
  <c r="U26" i="1" s="1"/>
  <c r="G14" i="1"/>
  <c r="L13" i="1"/>
  <c r="U25" i="1" s="1"/>
  <c r="J13" i="1"/>
  <c r="U24" i="1" s="1"/>
  <c r="G13" i="1"/>
  <c r="L12" i="1"/>
  <c r="U23" i="1" s="1"/>
  <c r="J12" i="1"/>
  <c r="U22" i="1" s="1"/>
  <c r="G12" i="1"/>
  <c r="L11" i="1"/>
  <c r="U21" i="1" s="1"/>
  <c r="K11" i="1"/>
  <c r="W20" i="1" s="1"/>
  <c r="J11" i="1"/>
  <c r="U20" i="1" s="1"/>
  <c r="Q11" i="1"/>
  <c r="L10" i="1"/>
  <c r="U19" i="1" s="1"/>
  <c r="J10" i="1"/>
  <c r="U18" i="1" s="1"/>
  <c r="L9" i="1"/>
  <c r="U17" i="1" s="1"/>
  <c r="J9" i="1"/>
  <c r="U16" i="1" s="1"/>
  <c r="L8" i="1"/>
  <c r="U15" i="1" s="1"/>
  <c r="J8" i="1"/>
  <c r="U14" i="1" s="1"/>
  <c r="L7" i="1"/>
  <c r="U13" i="1" s="1"/>
  <c r="J7" i="1"/>
  <c r="U12" i="1" s="1"/>
  <c r="G7" i="1"/>
  <c r="L6" i="1"/>
  <c r="U11" i="1" s="1"/>
  <c r="J6" i="1"/>
  <c r="U10" i="1" s="1"/>
  <c r="G6" i="1"/>
  <c r="L5" i="1"/>
  <c r="U9" i="1" s="1"/>
  <c r="J5" i="1"/>
  <c r="U8" i="1" s="1"/>
  <c r="G5" i="1"/>
  <c r="L3" i="1"/>
  <c r="J3" i="1"/>
  <c r="G3" i="1"/>
  <c r="H21" i="1" a="1"/>
  <c r="H9" i="1" a="1"/>
  <c r="H12" i="1" a="1"/>
  <c r="H10" i="1" a="1"/>
  <c r="H11" i="1" a="1"/>
  <c r="H7" i="1" a="1"/>
  <c r="H19" i="1" a="1"/>
  <c r="H13" i="1" a="1"/>
  <c r="H20" i="1" a="1"/>
  <c r="H15" i="1" a="1"/>
  <c r="H22" i="1" a="1"/>
  <c r="H6" i="1" a="1"/>
  <c r="H18" i="1" a="1"/>
  <c r="H23" i="1" a="1"/>
  <c r="H14" i="1" a="1"/>
  <c r="H17" i="1" a="1"/>
  <c r="H5" i="1" a="1"/>
  <c r="H16" i="1" a="1"/>
  <c r="H8" i="1" a="1"/>
  <c r="H3" i="1" a="1"/>
  <c r="K13" i="1" l="1"/>
  <c r="Q13" i="1"/>
  <c r="K3" i="1"/>
  <c r="Q3" i="1"/>
  <c r="K21" i="1"/>
  <c r="W40" i="1" s="1"/>
  <c r="Y40" i="1" s="1"/>
  <c r="Q21" i="1"/>
  <c r="K14" i="1"/>
  <c r="W26" i="1" s="1"/>
  <c r="Z26" i="1" s="1"/>
  <c r="Q14" i="1"/>
  <c r="K5" i="1"/>
  <c r="W8" i="1" s="1"/>
  <c r="Q5" i="1"/>
  <c r="K15" i="1"/>
  <c r="W28" i="1" s="1"/>
  <c r="AA28" i="1" s="1"/>
  <c r="Q15" i="1"/>
  <c r="K22" i="1"/>
  <c r="W42" i="1" s="1"/>
  <c r="Z42" i="1" s="1"/>
  <c r="Q22" i="1"/>
  <c r="K10" i="1"/>
  <c r="W18" i="1" s="1"/>
  <c r="Q10" i="1"/>
  <c r="K6" i="1"/>
  <c r="Q6" i="1"/>
  <c r="K17" i="1"/>
  <c r="W32" i="1" s="1"/>
  <c r="Z32" i="1" s="1"/>
  <c r="Q17" i="1"/>
  <c r="K8" i="1"/>
  <c r="W14" i="1" s="1"/>
  <c r="Q8" i="1"/>
  <c r="K12" i="1"/>
  <c r="W22" i="1" s="1"/>
  <c r="Q12" i="1"/>
  <c r="K9" i="1"/>
  <c r="W16" i="1" s="1"/>
  <c r="Q9" i="1"/>
  <c r="K20" i="1"/>
  <c r="W38" i="1" s="1"/>
  <c r="Y38" i="1" s="1"/>
  <c r="Q20" i="1"/>
  <c r="K23" i="1"/>
  <c r="W44" i="1" s="1"/>
  <c r="AA44" i="1" s="1"/>
  <c r="Q23" i="1"/>
  <c r="K19" i="1"/>
  <c r="W36" i="1" s="1"/>
  <c r="Q19" i="1"/>
  <c r="K16" i="1"/>
  <c r="Q16" i="1"/>
  <c r="K7" i="1"/>
  <c r="Q7" i="1"/>
  <c r="K18" i="1"/>
  <c r="Q18" i="1"/>
  <c r="W12" i="1"/>
  <c r="W30" i="1"/>
  <c r="Y30" i="1" s="1"/>
  <c r="W34" i="1"/>
  <c r="Z34" i="1" s="1"/>
  <c r="W10" i="1"/>
  <c r="W24" i="1"/>
  <c r="H8" i="1"/>
  <c r="M8" i="1" s="1"/>
  <c r="W15" i="1" s="1"/>
  <c r="H16" i="1"/>
  <c r="M16" i="1" s="1"/>
  <c r="W31" i="1" s="1"/>
  <c r="H6" i="1"/>
  <c r="M6" i="1" s="1"/>
  <c r="W11" i="1" s="1"/>
  <c r="H23" i="1"/>
  <c r="M23" i="1" s="1"/>
  <c r="W45" i="1" s="1"/>
  <c r="H15" i="1"/>
  <c r="M15" i="1" s="1"/>
  <c r="W29" i="1" s="1"/>
  <c r="H13" i="1"/>
  <c r="M13" i="1" s="1"/>
  <c r="W25" i="1" s="1"/>
  <c r="H14" i="1"/>
  <c r="M14" i="1" s="1"/>
  <c r="W27" i="1" s="1"/>
  <c r="H5" i="1"/>
  <c r="M5" i="1" s="1"/>
  <c r="W9" i="1" s="1"/>
  <c r="H21" i="1"/>
  <c r="M21" i="1" s="1"/>
  <c r="W41" i="1" s="1"/>
  <c r="H9" i="1"/>
  <c r="M9" i="1" s="1"/>
  <c r="W17" i="1" s="1"/>
  <c r="H7" i="1"/>
  <c r="M7" i="1" s="1"/>
  <c r="W13" i="1" s="1"/>
  <c r="H12" i="1"/>
  <c r="M12" i="1" s="1"/>
  <c r="W23" i="1" s="1"/>
  <c r="H22" i="1"/>
  <c r="M22" i="1" s="1"/>
  <c r="W43" i="1" s="1"/>
  <c r="H20" i="1"/>
  <c r="M20" i="1" s="1"/>
  <c r="W39" i="1" s="1"/>
  <c r="H19" i="1"/>
  <c r="M19" i="1" s="1"/>
  <c r="W37" i="1" s="1"/>
  <c r="H17" i="1"/>
  <c r="M17" i="1" s="1"/>
  <c r="W33" i="1" s="1"/>
  <c r="H11" i="1"/>
  <c r="M11" i="1" s="1"/>
  <c r="W21" i="1" s="1"/>
  <c r="H18" i="1"/>
  <c r="M18" i="1" s="1"/>
  <c r="W35" i="1" s="1"/>
  <c r="H10" i="1"/>
  <c r="M10" i="1" s="1"/>
  <c r="W19" i="1" s="1"/>
  <c r="H3" i="1"/>
  <c r="M3" i="1" s="1"/>
  <c r="W5" i="1" s="1"/>
  <c r="AA32" i="1" l="1"/>
  <c r="Z38" i="1"/>
  <c r="AA38" i="1"/>
  <c r="Y36" i="1"/>
  <c r="AA36" i="1"/>
  <c r="Z36" i="1"/>
  <c r="Y44" i="1"/>
  <c r="Y26" i="1"/>
  <c r="AA26" i="1"/>
  <c r="AA30" i="1"/>
  <c r="Z44" i="1"/>
  <c r="Y32" i="1"/>
  <c r="AA34" i="1"/>
  <c r="Y34" i="1"/>
  <c r="AA42" i="1"/>
  <c r="Y42" i="1"/>
  <c r="Z40" i="1"/>
  <c r="Z30" i="1"/>
  <c r="Y28" i="1"/>
  <c r="Z28" i="1"/>
  <c r="AA40" i="1"/>
  <c r="AA45" i="1"/>
  <c r="Z45" i="1"/>
  <c r="Y45" i="1"/>
  <c r="Y41" i="1"/>
  <c r="AA41" i="1"/>
  <c r="Z41" i="1"/>
  <c r="AA43" i="1"/>
  <c r="Z43" i="1"/>
  <c r="Y43" i="1"/>
  <c r="AA39" i="1"/>
  <c r="Z39" i="1"/>
  <c r="Y39" i="1"/>
  <c r="AA37" i="1"/>
  <c r="Z37" i="1"/>
  <c r="Y37" i="1"/>
  <c r="AA33" i="1"/>
  <c r="Y33" i="1"/>
  <c r="Z33" i="1"/>
  <c r="AA35" i="1"/>
  <c r="Z35" i="1"/>
  <c r="Y35" i="1"/>
  <c r="Z31" i="1"/>
  <c r="AA31" i="1"/>
  <c r="Y31" i="1"/>
  <c r="Y29" i="1"/>
  <c r="Z29" i="1"/>
  <c r="AA29" i="1"/>
  <c r="AA27" i="1"/>
  <c r="Z27" i="1"/>
  <c r="Y27" i="1"/>
  <c r="Z16" i="1" l="1"/>
  <c r="Y12" i="1"/>
  <c r="L4" i="1"/>
  <c r="U7" i="1" s="1"/>
  <c r="J4" i="1"/>
  <c r="U6" i="1" s="1"/>
  <c r="G4" i="1"/>
  <c r="Q4" i="1" s="1"/>
  <c r="H4" i="1" a="1"/>
  <c r="K4" i="1" l="1"/>
  <c r="W6" i="1"/>
  <c r="Y6" i="1" s="1"/>
  <c r="Y17" i="1"/>
  <c r="AA19" i="1"/>
  <c r="AA23" i="1"/>
  <c r="AA22" i="1"/>
  <c r="Z22" i="1"/>
  <c r="Y22" i="1"/>
  <c r="AA20" i="1"/>
  <c r="Z20" i="1"/>
  <c r="Y20" i="1"/>
  <c r="AA21" i="1"/>
  <c r="Z21" i="1"/>
  <c r="Y21" i="1"/>
  <c r="AA17" i="1"/>
  <c r="Z17" i="1"/>
  <c r="Y18" i="1"/>
  <c r="AA18" i="1"/>
  <c r="Z18" i="1"/>
  <c r="AA24" i="1"/>
  <c r="Z24" i="1"/>
  <c r="Y24" i="1"/>
  <c r="Z19" i="1"/>
  <c r="Y19" i="1"/>
  <c r="AA25" i="1"/>
  <c r="Z25" i="1"/>
  <c r="Y25" i="1"/>
  <c r="AA16" i="1"/>
  <c r="Y16" i="1"/>
  <c r="AA15" i="1"/>
  <c r="AA14" i="1"/>
  <c r="Z14" i="1"/>
  <c r="Y14" i="1"/>
  <c r="AA12" i="1"/>
  <c r="Z12" i="1"/>
  <c r="AA13" i="1"/>
  <c r="Z13" i="1"/>
  <c r="Y13" i="1"/>
  <c r="AA11" i="1"/>
  <c r="AA10" i="1"/>
  <c r="Z10" i="1"/>
  <c r="Y10" i="1"/>
  <c r="Z11" i="1"/>
  <c r="AA9" i="1"/>
  <c r="AA8" i="1"/>
  <c r="Z8" i="1"/>
  <c r="Y8" i="1"/>
  <c r="H4" i="1"/>
  <c r="M4" i="1" s="1"/>
  <c r="Z6" i="1" l="1"/>
  <c r="AA6" i="1"/>
  <c r="Z9" i="1"/>
  <c r="Y9" i="1"/>
  <c r="Y11" i="1"/>
  <c r="Y15" i="1"/>
  <c r="Z23" i="1"/>
  <c r="Y23" i="1"/>
  <c r="Z15" i="1"/>
  <c r="W7" i="1"/>
  <c r="Z7" i="1" l="1"/>
  <c r="AA7" i="1"/>
  <c r="Y7" i="1"/>
  <c r="G2" i="1"/>
  <c r="L2" i="1"/>
  <c r="H2" i="1" a="1"/>
  <c r="K2" i="1" l="1"/>
  <c r="W2" i="1" s="1"/>
  <c r="Y2" i="1" s="1"/>
  <c r="AA4" i="1"/>
  <c r="Y4" i="1"/>
  <c r="Z4" i="1"/>
  <c r="Z2" i="1"/>
  <c r="AA2" i="1"/>
  <c r="H2" i="1"/>
  <c r="M2" i="1" s="1"/>
  <c r="W3" i="1" s="1"/>
  <c r="AA3" i="1" l="1"/>
  <c r="Y3" i="1"/>
  <c r="Z3" i="1"/>
  <c r="AA5" i="1"/>
  <c r="Z5" i="1"/>
  <c r="Y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<sst xmlns="http://schemas.openxmlformats.org/spreadsheetml/2006/main" count="53" uniqueCount="28">
  <si>
    <t>Seq of target site (without PAM)</t>
  </si>
  <si>
    <t>Seq of target site (without PAM) rev-comp</t>
  </si>
  <si>
    <t>R primer Seq for order</t>
  </si>
  <si>
    <t>Name</t>
  </si>
  <si>
    <t>#</t>
  </si>
  <si>
    <t>Pass: 0000</t>
  </si>
  <si>
    <t>INSERT target seq (w/ or w/o PAM)</t>
  </si>
  <si>
    <t>For ordering -&gt;</t>
  </si>
  <si>
    <t>Name of F oligo</t>
  </si>
  <si>
    <t>Name of R oligo</t>
  </si>
  <si>
    <t>Seq of F oligo</t>
  </si>
  <si>
    <t>Ex.</t>
  </si>
  <si>
    <t>Oligo Name</t>
  </si>
  <si>
    <t>Sequence</t>
  </si>
  <si>
    <r>
      <t>Scale (</t>
    </r>
    <r>
      <rPr>
        <b/>
        <sz val="10"/>
        <rFont val="Symbol"/>
        <family val="1"/>
        <charset val="2"/>
      </rPr>
      <t>m</t>
    </r>
    <r>
      <rPr>
        <b/>
        <sz val="10"/>
        <rFont val="Arial"/>
        <family val="2"/>
      </rPr>
      <t>mole)</t>
    </r>
  </si>
  <si>
    <t>Purification</t>
  </si>
  <si>
    <t>Format</t>
  </si>
  <si>
    <t>Insert sequence</t>
  </si>
  <si>
    <t>gRNA #</t>
  </si>
  <si>
    <t>Seq of cut to stop</t>
  </si>
  <si>
    <t>Arhgap21</t>
  </si>
  <si>
    <t>CTGTCTCCGTTTATTTGGTCAGG</t>
  </si>
  <si>
    <t>TTCAGACAGTTTGTGAGGGTGGG</t>
  </si>
  <si>
    <t>cctgaccaaataaacggagacagcttccagaacacgagccaaaatgctagttctgcggccaacgcccaccctcacaaactgtctgaaagtcccaacactaaaacagagtctcctccctgcctttaa</t>
  </si>
  <si>
    <t>cccaccctcacaaactgtctgaaagtcccaacactaaaacagagtctcctccctgcctttaa</t>
  </si>
  <si>
    <t>.</t>
  </si>
  <si>
    <t>MIT</t>
  </si>
  <si>
    <t>ORF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</si>
</sst>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name val="Symbol"/>
      <family val="1"/>
      <charset val="2"/>
    </font>
    <font>
      <sz val="12"/>
      <color theme="1"/>
      <name val="Calibri"/>
      <family val="2"/>
    </font>
    <font>
      <sz val="12"/>
      <name val="Calibri"/>
      <family val="2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3" fillId="5" borderId="1" xfId="1" applyFont="1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left" vertical="center"/>
    </xf>
    <xf numFmtId="0" fontId="0" fillId="4" borderId="1" xfId="0" applyFill="1" applyBorder="1" applyAlignment="1" applyProtection="1">
      <alignment horizontal="left" vertical="center"/>
    </xf>
    <xf numFmtId="0" fontId="7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/>
    </xf>
    <xf numFmtId="0" fontId="0" fillId="3" borderId="1" xfId="0" applyFill="1" applyBorder="1" applyAlignment="1" applyProtection="1">
      <alignment horizontal="left"/>
    </xf>
    <xf numFmtId="0" fontId="2" fillId="5" borderId="1" xfId="0" applyFont="1" applyFill="1" applyBorder="1" applyAlignment="1" applyProtection="1">
      <alignment horizontal="left" vertical="center" wrapText="1"/>
    </xf>
    <xf numFmtId="0" fontId="2" fillId="5" borderId="1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6" borderId="1" xfId="0" applyFill="1" applyBorder="1" applyAlignment="1" applyProtection="1">
      <alignment horizontal="left" vertical="center"/>
    </xf>
    <xf numFmtId="0" fontId="6" fillId="2" borderId="1" xfId="0" applyFont="1" applyFill="1" applyBorder="1" applyAlignment="1" applyProtection="1">
      <alignment horizontal="center"/>
    </xf>
    <xf numFmtId="0" fontId="6" fillId="0" borderId="1" xfId="0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79ADE-5D7E-6949-865D-75100D3736BE}">
  <sheetPr codeName="Sheet1"/>
  <dimension ref="A1:AB45"/>
  <sheetViews>
    <sheetView tabSelected="1" workbookViewId="0">
      <selection activeCell="F4" sqref="B4:F4"/>
    </sheetView>
  </sheetViews>
  <sheetFormatPr baseColWidth="10" defaultColWidth="25.33203125" defaultRowHeight="16" x14ac:dyDescent="0.2"/>
  <cols>
    <col min="1" max="1" width="3.5" style="6" bestFit="1" customWidth="1"/>
    <col min="2" max="2" width="6.5" style="6" bestFit="1" customWidth="1"/>
    <col min="3" max="3" width="2.1640625" style="6" bestFit="1" customWidth="1"/>
    <col min="4" max="4" width="31" style="6" customWidth="1"/>
    <col min="5" max="5" width="4.33203125" style="6" bestFit="1" customWidth="1"/>
    <col min="6" max="6" width="15.5" style="6" bestFit="1" customWidth="1"/>
    <col min="7" max="7" width="5.1640625" style="6" hidden="1" customWidth="1"/>
    <col min="8" max="8" width="5.5" style="6" hidden="1" customWidth="1"/>
    <col min="9" max="9" width="7" style="6" hidden="1" customWidth="1"/>
    <col min="10" max="10" width="6.33203125" style="6" hidden="1" customWidth="1"/>
    <col min="11" max="11" width="6.5" style="6" hidden="1" customWidth="1"/>
    <col min="12" max="12" width="8.33203125" style="6" hidden="1" customWidth="1"/>
    <col min="13" max="13" width="0.1640625" style="6" customWidth="1"/>
    <col min="14" max="14" width="3.5" style="6" customWidth="1"/>
    <col min="15" max="15" width="9.83203125" style="6" bestFit="1" customWidth="1"/>
    <col min="16" max="16" width="10.83203125" style="7" customWidth="1"/>
    <col min="17" max="17" width="28.6640625" style="7" bestFit="1" customWidth="1"/>
    <col min="18" max="18" width="4.33203125" style="7" bestFit="1" customWidth="1"/>
    <col min="19" max="19" width="4.6640625" style="7" bestFit="1" customWidth="1"/>
    <col min="20" max="20" width="3" style="6" customWidth="1"/>
    <col min="21" max="21" width="18.5" style="6" customWidth="1"/>
    <col min="22" max="22" width="0.83203125" style="6" customWidth="1"/>
    <col min="23" max="23" width="29.33203125" style="6" customWidth="1"/>
    <col min="24" max="24" width="0.83203125" style="6" customWidth="1"/>
    <col min="25" max="25" width="12.33203125" style="6" bestFit="1" customWidth="1"/>
    <col min="26" max="26" width="10.5" style="6" bestFit="1" customWidth="1"/>
    <col min="27" max="27" width="6.83203125" style="6" bestFit="1" customWidth="1"/>
    <col min="28" max="28" width="4" style="7" customWidth="1"/>
    <col min="29" max="16384" width="25.33203125" style="6"/>
  </cols>
  <sheetData>
    <row r="1" spans="1:27" x14ac:dyDescent="0.2">
      <c r="A1" s="2"/>
      <c r="B1" s="3" t="s">
        <v>3</v>
      </c>
      <c r="C1" s="3" t="s">
        <v>4</v>
      </c>
      <c r="D1" s="3" t="s">
        <v>6</v>
      </c>
      <c r="E1" s="3" t="s">
        <v>26</v>
      </c>
      <c r="F1" s="3" t="s">
        <v>19</v>
      </c>
      <c r="G1" s="3" t="s">
        <v>0</v>
      </c>
      <c r="H1" s="3" t="s">
        <v>1</v>
      </c>
      <c r="I1" s="4" t="s">
        <v>7</v>
      </c>
      <c r="J1" s="4" t="s">
        <v>8</v>
      </c>
      <c r="K1" s="4" t="s">
        <v>10</v>
      </c>
      <c r="L1" s="4" t="s">
        <v>9</v>
      </c>
      <c r="M1" s="4" t="s">
        <v>2</v>
      </c>
      <c r="N1" s="5" t="s">
        <v>25</v>
      </c>
      <c r="O1" s="6" t="s">
        <v>5</v>
      </c>
      <c r="P1" s="7" t="s">
        <v>18</v>
      </c>
      <c r="Q1" s="8" t="s">
        <v>17</v>
      </c>
      <c r="R1" s="8" t="s">
        <v>26</v>
      </c>
      <c r="S1" s="8" t="s">
        <v>27</v>
      </c>
      <c r="U1" s="9" t="s">
        <v>12</v>
      </c>
      <c r="V1" s="1"/>
      <c r="W1" s="9" t="s">
        <v>13</v>
      </c>
      <c r="X1" s="1"/>
      <c r="Y1" s="10" t="s">
        <v>14</v>
      </c>
      <c r="Z1" s="10" t="s">
        <v>15</v>
      </c>
      <c r="AA1" s="9" t="s">
        <v>16</v>
      </c>
    </row>
    <row r="2" spans="1:27" x14ac:dyDescent="0.2">
      <c r="A2" s="11" t="s">
        <v>11</v>
      </c>
      <c r="B2" s="11" t="s">
        <v>20</v>
      </c>
      <c r="C2" s="11">
        <v>1</v>
      </c>
      <c r="D2" s="11" t="s">
        <v>21</v>
      </c>
      <c r="E2" s="11">
        <v>78</v>
      </c>
      <c r="F2" s="11" t="s">
        <v>23</v>
      </c>
      <c r="G2" s="11" t="str">
        <f t="shared" ref="G2:G7" si="0">UPPER(LEFT(D2,20))</f>
        <v>CTGTCTCCGTTTATTTGGTC</v>
      </c>
      <c r="H2" s="11" t="str" cm="1">
        <f t="array" ref="H2">revcomp(G2)</f>
        <v>GACCAAATAAACGGAGACAG</v>
      </c>
      <c r="I2" s="11"/>
      <c r="J2" s="11" t="str">
        <f t="shared" ref="J2:J23" si="1">IF(B2="","",B2&amp;"_"&amp;C2&amp;"F")</f>
        <v>Arhgap21_1F</v>
      </c>
      <c r="K2" s="11" t="str">
        <f>IF(B2="","","caccg"&amp;G2)</f>
        <v>caccgCTGTCTCCGTTTATTTGGTC</v>
      </c>
      <c r="L2" s="11" t="str">
        <f t="shared" ref="L2:L23" si="2">IF(B2="","",B2&amp;"_"&amp;C2&amp;"R")</f>
        <v>Arhgap21_1R</v>
      </c>
      <c r="M2" s="11" t="str">
        <f>IF(B2="","","aaac"&amp;H2&amp;"c")</f>
        <v>aaacGACCAAATAAACGGAGACAGc</v>
      </c>
      <c r="N2" s="5" t="s">
        <v>25</v>
      </c>
      <c r="P2" s="12" t="str">
        <f t="shared" ref="P2:P23" si="3">IF(B2="","",B2&amp;"_"&amp;C2)</f>
        <v>Arhgap21_1</v>
      </c>
      <c r="Q2" s="12" t="str">
        <f t="shared" ref="Q2:Q23" si="4">IF(G2="","",G2)</f>
        <v>CTGTCTCCGTTTATTTGGTC</v>
      </c>
      <c r="R2" s="12">
        <f>IF(E2="","",E2)</f>
        <v>78</v>
      </c>
      <c r="S2" s="13">
        <f>IF(F2="","",IF(3-MOD(LEN(F2),3)=3,0,3-MOD(LEN(F2),3)))</f>
        <v>0</v>
      </c>
      <c r="U2" s="11" t="str">
        <f>IF(J2="","",J2&amp;"_ORF"&amp;S2)</f>
        <v>Arhgap21_1F_ORF0</v>
      </c>
      <c r="V2" s="11"/>
      <c r="W2" s="11" t="str">
        <f>IF(K2="","",K2)</f>
        <v>caccgCTGTCTCCGTTTATTTGGTC</v>
      </c>
      <c r="X2" s="11"/>
      <c r="Y2" s="11" t="str">
        <f t="shared" ref="Y2:Y7" si="5">IF(W2="","","0.025")</f>
        <v>0.025</v>
      </c>
      <c r="Z2" s="11" t="str">
        <f t="shared" ref="Z2:Z7" si="6">IF(W2="","","Desalt")</f>
        <v>Desalt</v>
      </c>
      <c r="AA2" s="11" t="str">
        <f t="shared" ref="AA2:AA7" si="7">IF(W2="","","Dry")</f>
        <v>Dry</v>
      </c>
    </row>
    <row r="3" spans="1:27" x14ac:dyDescent="0.2">
      <c r="A3" s="11" t="s">
        <v>11</v>
      </c>
      <c r="B3" s="11" t="s">
        <v>20</v>
      </c>
      <c r="C3" s="11">
        <v>2</v>
      </c>
      <c r="D3" s="11" t="s">
        <v>22</v>
      </c>
      <c r="E3" s="11">
        <v>66</v>
      </c>
      <c r="F3" s="11" t="s">
        <v>24</v>
      </c>
      <c r="G3" s="11" t="str">
        <f t="shared" si="0"/>
        <v>TTCAGACAGTTTGTGAGGGT</v>
      </c>
      <c r="H3" s="11" t="str" cm="1">
        <f t="array" ref="H3">revcomp(G3)</f>
        <v>ACCCTCACAAACTGTCTGAA</v>
      </c>
      <c r="I3" s="11"/>
      <c r="J3" s="11" t="str">
        <f t="shared" si="1"/>
        <v>Arhgap21_2F</v>
      </c>
      <c r="K3" s="11" t="str">
        <f>IF(B3="","","caccg"&amp;G3)</f>
        <v>caccgTTCAGACAGTTTGTGAGGGT</v>
      </c>
      <c r="L3" s="11" t="str">
        <f t="shared" si="2"/>
        <v>Arhgap21_2R</v>
      </c>
      <c r="M3" s="11" t="str">
        <f>IF(B3="","","aaac"&amp;H3&amp;"c")</f>
        <v>aaacACCCTCACAAACTGTCTGAAc</v>
      </c>
      <c r="N3" s="5" t="s">
        <v>25</v>
      </c>
      <c r="P3" s="12" t="str">
        <f t="shared" si="3"/>
        <v>Arhgap21_2</v>
      </c>
      <c r="Q3" s="12" t="str">
        <f t="shared" si="4"/>
        <v>TTCAGACAGTTTGTGAGGGT</v>
      </c>
      <c r="R3" s="12">
        <f t="shared" ref="R3:R23" si="8">IF(E3="","",E3)</f>
        <v>66</v>
      </c>
      <c r="S3" s="13">
        <f>IF(F3="","",IF(3-MOD(LEN(F3),3)=3,0,3-MOD(LEN(F3),3)))</f>
        <v>1</v>
      </c>
      <c r="U3" s="11" t="str">
        <f>IF(L2="","",L2&amp;"_ORF"&amp;S2)</f>
        <v>Arhgap21_1R_ORF0</v>
      </c>
      <c r="V3" s="11"/>
      <c r="W3" s="11" t="str">
        <f>IF(M2="","",M2)</f>
        <v>aaacGACCAAATAAACGGAGACAGc</v>
      </c>
      <c r="X3" s="11"/>
      <c r="Y3" s="11" t="str">
        <f t="shared" si="5"/>
        <v>0.025</v>
      </c>
      <c r="Z3" s="11" t="str">
        <f t="shared" si="6"/>
        <v>Desalt</v>
      </c>
      <c r="AA3" s="11" t="str">
        <f t="shared" si="7"/>
        <v>Dry</v>
      </c>
    </row>
    <row r="4" spans="1:27" x14ac:dyDescent="0.2">
      <c r="A4" s="3">
        <v>1</v>
      </c>
      <c r="B4" s="15"/>
      <c r="C4" s="15"/>
      <c r="D4" s="15"/>
      <c r="E4" s="15"/>
      <c r="F4" s="16"/>
      <c r="G4" s="2" t="str">
        <f t="shared" si="0"/>
        <v/>
      </c>
      <c r="H4" s="2" t="str" cm="1">
        <f t="array" ref="H4">revcomp(G4)</f>
        <v/>
      </c>
      <c r="I4" s="2"/>
      <c r="J4" s="2" t="str">
        <f t="shared" si="1"/>
        <v/>
      </c>
      <c r="K4" s="2" t="str">
        <f t="shared" ref="K4:K23" si="9">IF(D4="","","caccg"&amp;G4)</f>
        <v/>
      </c>
      <c r="L4" s="2" t="str">
        <f t="shared" si="2"/>
        <v/>
      </c>
      <c r="M4" s="2" t="str">
        <f t="shared" ref="M4:M23" si="10">IF(D4="","","aaac"&amp;H4&amp;"c")</f>
        <v/>
      </c>
      <c r="N4" s="5" t="s">
        <v>25</v>
      </c>
      <c r="P4" s="2" t="str">
        <f t="shared" si="3"/>
        <v/>
      </c>
      <c r="Q4" s="2" t="str">
        <f t="shared" si="4"/>
        <v/>
      </c>
      <c r="R4" s="2" t="str">
        <f t="shared" si="8"/>
        <v/>
      </c>
      <c r="S4" s="14" t="str">
        <f>IF(F4="","",IF(3-MOD(LEN(F4),3)=3,0,3-MOD(LEN(F4),3)))</f>
        <v/>
      </c>
      <c r="U4" s="11" t="str">
        <f>IF(J3="","",J3&amp;"_ORF"&amp;S3)</f>
        <v>Arhgap21_2F_ORF1</v>
      </c>
      <c r="V4" s="11"/>
      <c r="W4" s="11" t="str">
        <f>IF(K3="","",K3)</f>
        <v>caccgTTCAGACAGTTTGTGAGGGT</v>
      </c>
      <c r="X4" s="11"/>
      <c r="Y4" s="11" t="str">
        <f t="shared" si="5"/>
        <v>0.025</v>
      </c>
      <c r="Z4" s="11" t="str">
        <f t="shared" si="6"/>
        <v>Desalt</v>
      </c>
      <c r="AA4" s="11" t="str">
        <f t="shared" si="7"/>
        <v>Dry</v>
      </c>
    </row>
    <row r="5" spans="1:27" x14ac:dyDescent="0.2">
      <c r="A5" s="3">
        <v>2</v>
      </c>
      <c r="B5" s="15"/>
      <c r="C5" s="15"/>
      <c r="D5" s="15"/>
      <c r="E5" s="15"/>
      <c r="F5" s="16"/>
      <c r="G5" s="2" t="str">
        <f t="shared" si="0"/>
        <v/>
      </c>
      <c r="H5" s="2" t="str" cm="1">
        <f t="array" ref="H5">revcomp(G5)</f>
        <v/>
      </c>
      <c r="I5" s="2"/>
      <c r="J5" s="2" t="str">
        <f t="shared" si="1"/>
        <v/>
      </c>
      <c r="K5" s="2" t="str">
        <f t="shared" si="9"/>
        <v/>
      </c>
      <c r="L5" s="2" t="str">
        <f t="shared" si="2"/>
        <v/>
      </c>
      <c r="M5" s="2" t="str">
        <f t="shared" si="10"/>
        <v/>
      </c>
      <c r="N5" s="5" t="s">
        <v>25</v>
      </c>
      <c r="P5" s="2" t="str">
        <f t="shared" si="3"/>
        <v/>
      </c>
      <c r="Q5" s="2" t="str">
        <f t="shared" si="4"/>
        <v/>
      </c>
      <c r="R5" s="2" t="str">
        <f t="shared" si="8"/>
        <v/>
      </c>
      <c r="S5" s="14" t="str">
        <f t="shared" ref="S5:S23" si="11">IF(F5="","",IF(3-MOD(LEN(F5),3)=3,0,3-MOD(LEN(F5),3)))</f>
        <v/>
      </c>
      <c r="U5" s="11" t="str">
        <f>IF(L3="","",L3&amp;"_ORF"&amp;S3)</f>
        <v>Arhgap21_2R_ORF1</v>
      </c>
      <c r="V5" s="11"/>
      <c r="W5" s="11" t="str">
        <f>IF(M3="","",M3)</f>
        <v>aaacACCCTCACAAACTGTCTGAAc</v>
      </c>
      <c r="X5" s="11"/>
      <c r="Y5" s="11" t="str">
        <f t="shared" si="5"/>
        <v>0.025</v>
      </c>
      <c r="Z5" s="11" t="str">
        <f t="shared" si="6"/>
        <v>Desalt</v>
      </c>
      <c r="AA5" s="11" t="str">
        <f t="shared" si="7"/>
        <v>Dry</v>
      </c>
    </row>
    <row r="6" spans="1:27" x14ac:dyDescent="0.2">
      <c r="A6" s="3">
        <v>3</v>
      </c>
      <c r="B6" s="15"/>
      <c r="C6" s="15"/>
      <c r="D6" s="15"/>
      <c r="E6" s="15"/>
      <c r="F6" s="16"/>
      <c r="G6" s="2" t="str">
        <f t="shared" si="0"/>
        <v/>
      </c>
      <c r="H6" s="2" t="str" cm="1">
        <f t="array" ref="H6">revcomp(G6)</f>
        <v/>
      </c>
      <c r="I6" s="2"/>
      <c r="J6" s="2" t="str">
        <f t="shared" si="1"/>
        <v/>
      </c>
      <c r="K6" s="2" t="str">
        <f t="shared" si="9"/>
        <v/>
      </c>
      <c r="L6" s="2" t="str">
        <f t="shared" si="2"/>
        <v/>
      </c>
      <c r="M6" s="2" t="str">
        <f t="shared" si="10"/>
        <v/>
      </c>
      <c r="N6" s="5" t="s">
        <v>25</v>
      </c>
      <c r="P6" s="2" t="str">
        <f t="shared" si="3"/>
        <v/>
      </c>
      <c r="Q6" s="2" t="str">
        <f t="shared" si="4"/>
        <v/>
      </c>
      <c r="R6" s="2" t="str">
        <f t="shared" si="8"/>
        <v/>
      </c>
      <c r="S6" s="14" t="str">
        <f t="shared" si="11"/>
        <v/>
      </c>
      <c r="U6" s="2" t="str">
        <f>IF(J4="","",J4&amp;"_ORF"&amp;S4)</f>
        <v/>
      </c>
      <c r="V6" s="2"/>
      <c r="W6" s="2" t="str">
        <f>IF(K4="","",K4)</f>
        <v/>
      </c>
      <c r="X6" s="2"/>
      <c r="Y6" s="2" t="str">
        <f>IF(W6="","","0.025")</f>
        <v/>
      </c>
      <c r="Z6" s="2" t="str">
        <f t="shared" si="6"/>
        <v/>
      </c>
      <c r="AA6" s="2" t="str">
        <f t="shared" si="7"/>
        <v/>
      </c>
    </row>
    <row r="7" spans="1:27" x14ac:dyDescent="0.2">
      <c r="A7" s="3">
        <v>4</v>
      </c>
      <c r="B7" s="15"/>
      <c r="C7" s="15"/>
      <c r="D7" s="15"/>
      <c r="E7" s="15"/>
      <c r="F7" s="16"/>
      <c r="G7" s="2" t="str">
        <f t="shared" si="0"/>
        <v/>
      </c>
      <c r="H7" s="2" t="str" cm="1">
        <f t="array" ref="H7">revcomp(G7)</f>
        <v/>
      </c>
      <c r="I7" s="2"/>
      <c r="J7" s="2" t="str">
        <f t="shared" si="1"/>
        <v/>
      </c>
      <c r="K7" s="2" t="str">
        <f t="shared" si="9"/>
        <v/>
      </c>
      <c r="L7" s="2" t="str">
        <f t="shared" si="2"/>
        <v/>
      </c>
      <c r="M7" s="2" t="str">
        <f t="shared" si="10"/>
        <v/>
      </c>
      <c r="N7" s="5" t="s">
        <v>25</v>
      </c>
      <c r="P7" s="2" t="str">
        <f t="shared" si="3"/>
        <v/>
      </c>
      <c r="Q7" s="2" t="str">
        <f t="shared" si="4"/>
        <v/>
      </c>
      <c r="R7" s="2" t="str">
        <f t="shared" si="8"/>
        <v/>
      </c>
      <c r="S7" s="14" t="str">
        <f t="shared" si="11"/>
        <v/>
      </c>
      <c r="U7" s="2" t="str">
        <f>IF(L4="","",L4&amp;"_ORF"&amp;S4)</f>
        <v/>
      </c>
      <c r="V7" s="2"/>
      <c r="W7" s="2" t="str">
        <f>IF(M4="","",M4)</f>
        <v/>
      </c>
      <c r="X7" s="2"/>
      <c r="Y7" s="2" t="str">
        <f t="shared" si="5"/>
        <v/>
      </c>
      <c r="Z7" s="2" t="str">
        <f t="shared" si="6"/>
        <v/>
      </c>
      <c r="AA7" s="2" t="str">
        <f t="shared" si="7"/>
        <v/>
      </c>
    </row>
    <row r="8" spans="1:27" x14ac:dyDescent="0.2">
      <c r="A8" s="3">
        <v>5</v>
      </c>
      <c r="B8" s="17"/>
      <c r="C8" s="17"/>
      <c r="D8" s="17"/>
      <c r="E8" s="17"/>
      <c r="F8" s="18"/>
      <c r="G8" s="14" t="str">
        <f>IF(F8="","",IF(3-MOD(LEN(F8),3)=3,0,3-MOD(LEN(F8),3)))</f>
        <v/>
      </c>
      <c r="H8" s="2" t="str" cm="1">
        <f t="array" ref="H8">revcomp(G8)</f>
        <v/>
      </c>
      <c r="I8" s="2"/>
      <c r="J8" s="2" t="str">
        <f t="shared" si="1"/>
        <v/>
      </c>
      <c r="K8" s="2" t="str">
        <f t="shared" si="9"/>
        <v/>
      </c>
      <c r="L8" s="2" t="str">
        <f t="shared" si="2"/>
        <v/>
      </c>
      <c r="M8" s="2" t="str">
        <f t="shared" si="10"/>
        <v/>
      </c>
      <c r="N8" s="5" t="s">
        <v>25</v>
      </c>
      <c r="P8" s="2" t="str">
        <f t="shared" si="3"/>
        <v/>
      </c>
      <c r="Q8" s="2" t="str">
        <f t="shared" si="4"/>
        <v/>
      </c>
      <c r="R8" s="2" t="str">
        <f t="shared" si="8"/>
        <v/>
      </c>
      <c r="S8" s="14" t="str">
        <f t="shared" si="11"/>
        <v/>
      </c>
      <c r="U8" s="2" t="str">
        <f>IF(J5="","",J5&amp;"_ORF"&amp;S5)</f>
        <v/>
      </c>
      <c r="V8" s="2"/>
      <c r="W8" s="2" t="str">
        <f>IF(K5="","",K5)</f>
        <v/>
      </c>
      <c r="X8" s="2"/>
      <c r="Y8" s="2" t="str">
        <f t="shared" ref="Y8:Y17" si="12">IF(W8="","","0.025")</f>
        <v/>
      </c>
      <c r="Z8" s="2" t="str">
        <f t="shared" ref="Z8:Z17" si="13">IF(W8="","","Desalt")</f>
        <v/>
      </c>
      <c r="AA8" s="2" t="str">
        <f t="shared" ref="AA8:AA17" si="14">IF(W8="","","Dry")</f>
        <v/>
      </c>
    </row>
    <row r="9" spans="1:27" x14ac:dyDescent="0.2">
      <c r="A9" s="3">
        <v>6</v>
      </c>
      <c r="B9" s="17"/>
      <c r="C9" s="17"/>
      <c r="D9" s="17"/>
      <c r="E9" s="17"/>
      <c r="F9" s="18"/>
      <c r="G9" s="14" t="str">
        <f t="shared" ref="G9:G11" si="15">IF(F9="","",IF(3-MOD(LEN(F9),3)=3,0,3-MOD(LEN(F9),3)))</f>
        <v/>
      </c>
      <c r="H9" s="2" t="str" cm="1">
        <f t="array" ref="H9">revcomp(G9)</f>
        <v/>
      </c>
      <c r="I9" s="2"/>
      <c r="J9" s="2" t="str">
        <f t="shared" si="1"/>
        <v/>
      </c>
      <c r="K9" s="2" t="str">
        <f t="shared" si="9"/>
        <v/>
      </c>
      <c r="L9" s="2" t="str">
        <f t="shared" si="2"/>
        <v/>
      </c>
      <c r="M9" s="2" t="str">
        <f t="shared" si="10"/>
        <v/>
      </c>
      <c r="N9" s="5" t="s">
        <v>25</v>
      </c>
      <c r="P9" s="2" t="str">
        <f t="shared" si="3"/>
        <v/>
      </c>
      <c r="Q9" s="2" t="str">
        <f t="shared" si="4"/>
        <v/>
      </c>
      <c r="R9" s="2" t="str">
        <f t="shared" si="8"/>
        <v/>
      </c>
      <c r="S9" s="14" t="str">
        <f t="shared" si="11"/>
        <v/>
      </c>
      <c r="U9" s="2" t="str">
        <f>IF(L5="","",L5&amp;"_ORF"&amp;S5)</f>
        <v/>
      </c>
      <c r="V9" s="2"/>
      <c r="W9" s="2" t="str">
        <f>IF(M5="","",M5)</f>
        <v/>
      </c>
      <c r="X9" s="2"/>
      <c r="Y9" s="2" t="str">
        <f t="shared" si="12"/>
        <v/>
      </c>
      <c r="Z9" s="2" t="str">
        <f t="shared" si="13"/>
        <v/>
      </c>
      <c r="AA9" s="2" t="str">
        <f t="shared" si="14"/>
        <v/>
      </c>
    </row>
    <row r="10" spans="1:27" x14ac:dyDescent="0.2">
      <c r="A10" s="3">
        <v>7</v>
      </c>
      <c r="B10" s="17"/>
      <c r="C10" s="17"/>
      <c r="D10" s="17"/>
      <c r="E10" s="17"/>
      <c r="F10" s="18"/>
      <c r="G10" s="14" t="str">
        <f t="shared" si="15"/>
        <v/>
      </c>
      <c r="H10" s="2" t="str" cm="1">
        <f t="array" ref="H10">revcomp(G10)</f>
        <v/>
      </c>
      <c r="I10" s="2"/>
      <c r="J10" s="2" t="str">
        <f t="shared" si="1"/>
        <v/>
      </c>
      <c r="K10" s="2" t="str">
        <f t="shared" si="9"/>
        <v/>
      </c>
      <c r="L10" s="2" t="str">
        <f t="shared" si="2"/>
        <v/>
      </c>
      <c r="M10" s="2" t="str">
        <f t="shared" si="10"/>
        <v/>
      </c>
      <c r="N10" s="5" t="s">
        <v>25</v>
      </c>
      <c r="P10" s="2" t="str">
        <f t="shared" si="3"/>
        <v/>
      </c>
      <c r="Q10" s="2" t="str">
        <f t="shared" si="4"/>
        <v/>
      </c>
      <c r="R10" s="2" t="str">
        <f t="shared" si="8"/>
        <v/>
      </c>
      <c r="S10" s="14" t="str">
        <f t="shared" si="11"/>
        <v/>
      </c>
      <c r="U10" s="2" t="str">
        <f>IF(J6="","",J6&amp;"_ORF"&amp;S6)</f>
        <v/>
      </c>
      <c r="V10" s="2"/>
      <c r="W10" s="2" t="str">
        <f>IF(K6="","",K6)</f>
        <v/>
      </c>
      <c r="X10" s="2"/>
      <c r="Y10" s="2" t="str">
        <f t="shared" si="12"/>
        <v/>
      </c>
      <c r="Z10" s="2" t="str">
        <f t="shared" si="13"/>
        <v/>
      </c>
      <c r="AA10" s="2" t="str">
        <f t="shared" si="14"/>
        <v/>
      </c>
    </row>
    <row r="11" spans="1:27" x14ac:dyDescent="0.2">
      <c r="A11" s="3">
        <v>8</v>
      </c>
      <c r="B11" s="17"/>
      <c r="C11" s="17"/>
      <c r="D11" s="17"/>
      <c r="E11" s="17"/>
      <c r="F11" s="18"/>
      <c r="G11" s="14" t="str">
        <f t="shared" si="15"/>
        <v/>
      </c>
      <c r="H11" s="2" t="str" cm="1">
        <f t="array" ref="H11">revcomp(G11)</f>
        <v/>
      </c>
      <c r="I11" s="2"/>
      <c r="J11" s="2" t="str">
        <f t="shared" si="1"/>
        <v/>
      </c>
      <c r="K11" s="2" t="str">
        <f t="shared" si="9"/>
        <v/>
      </c>
      <c r="L11" s="2" t="str">
        <f t="shared" si="2"/>
        <v/>
      </c>
      <c r="M11" s="2" t="str">
        <f t="shared" si="10"/>
        <v/>
      </c>
      <c r="N11" s="5" t="s">
        <v>25</v>
      </c>
      <c r="P11" s="2" t="str">
        <f t="shared" si="3"/>
        <v/>
      </c>
      <c r="Q11" s="2" t="str">
        <f t="shared" si="4"/>
        <v/>
      </c>
      <c r="R11" s="2" t="str">
        <f t="shared" si="8"/>
        <v/>
      </c>
      <c r="S11" s="14" t="str">
        <f t="shared" si="11"/>
        <v/>
      </c>
      <c r="U11" s="2" t="str">
        <f>IF(L6="","",L6&amp;"_ORF"&amp;S6)</f>
        <v/>
      </c>
      <c r="V11" s="2"/>
      <c r="W11" s="2" t="str">
        <f>IF(M6="","",M6)</f>
        <v/>
      </c>
      <c r="X11" s="2"/>
      <c r="Y11" s="2" t="str">
        <f t="shared" si="12"/>
        <v/>
      </c>
      <c r="Z11" s="2" t="str">
        <f t="shared" si="13"/>
        <v/>
      </c>
      <c r="AA11" s="2" t="str">
        <f t="shared" si="14"/>
        <v/>
      </c>
    </row>
    <row r="12" spans="1:27" x14ac:dyDescent="0.2">
      <c r="A12" s="3">
        <v>9</v>
      </c>
      <c r="B12" s="15"/>
      <c r="C12" s="15"/>
      <c r="D12" s="15"/>
      <c r="E12" s="15"/>
      <c r="F12" s="16"/>
      <c r="G12" s="2" t="str">
        <f t="shared" ref="G12:G23" si="16">UPPER(LEFT(D12,20))</f>
        <v/>
      </c>
      <c r="H12" s="2" t="str" cm="1">
        <f t="array" ref="H12">revcomp(G12)</f>
        <v/>
      </c>
      <c r="I12" s="2"/>
      <c r="J12" s="2" t="str">
        <f t="shared" si="1"/>
        <v/>
      </c>
      <c r="K12" s="2" t="str">
        <f t="shared" si="9"/>
        <v/>
      </c>
      <c r="L12" s="2" t="str">
        <f t="shared" si="2"/>
        <v/>
      </c>
      <c r="M12" s="2" t="str">
        <f t="shared" si="10"/>
        <v/>
      </c>
      <c r="N12" s="5" t="s">
        <v>25</v>
      </c>
      <c r="P12" s="2" t="str">
        <f t="shared" si="3"/>
        <v/>
      </c>
      <c r="Q12" s="2" t="str">
        <f t="shared" si="4"/>
        <v/>
      </c>
      <c r="R12" s="2" t="str">
        <f t="shared" si="8"/>
        <v/>
      </c>
      <c r="S12" s="14" t="str">
        <f t="shared" si="11"/>
        <v/>
      </c>
      <c r="U12" s="2" t="str">
        <f>IF(J7="","",J7&amp;"_ORF"&amp;S7)</f>
        <v/>
      </c>
      <c r="V12" s="2"/>
      <c r="W12" s="2" t="str">
        <f>IF(K7="","",K7)</f>
        <v/>
      </c>
      <c r="X12" s="2"/>
      <c r="Y12" s="2" t="str">
        <f>IF(W12="","","0.025")</f>
        <v/>
      </c>
      <c r="Z12" s="2" t="str">
        <f t="shared" si="13"/>
        <v/>
      </c>
      <c r="AA12" s="2" t="str">
        <f t="shared" si="14"/>
        <v/>
      </c>
    </row>
    <row r="13" spans="1:27" x14ac:dyDescent="0.2">
      <c r="A13" s="3">
        <v>10</v>
      </c>
      <c r="B13" s="15"/>
      <c r="C13" s="15"/>
      <c r="D13" s="15"/>
      <c r="E13" s="15"/>
      <c r="F13" s="16"/>
      <c r="G13" s="2" t="str">
        <f t="shared" si="16"/>
        <v/>
      </c>
      <c r="H13" s="2" t="str" cm="1">
        <f t="array" ref="H13">revcomp(G13)</f>
        <v/>
      </c>
      <c r="I13" s="2"/>
      <c r="J13" s="2" t="str">
        <f t="shared" si="1"/>
        <v/>
      </c>
      <c r="K13" s="2" t="str">
        <f t="shared" si="9"/>
        <v/>
      </c>
      <c r="L13" s="2" t="str">
        <f t="shared" si="2"/>
        <v/>
      </c>
      <c r="M13" s="2" t="str">
        <f t="shared" si="10"/>
        <v/>
      </c>
      <c r="N13" s="5" t="s">
        <v>25</v>
      </c>
      <c r="P13" s="2" t="str">
        <f t="shared" si="3"/>
        <v/>
      </c>
      <c r="Q13" s="2" t="str">
        <f t="shared" si="4"/>
        <v/>
      </c>
      <c r="R13" s="2" t="str">
        <f t="shared" si="8"/>
        <v/>
      </c>
      <c r="S13" s="14" t="str">
        <f t="shared" si="11"/>
        <v/>
      </c>
      <c r="U13" s="2" t="str">
        <f>IF(L7="","",L7&amp;"_ORF"&amp;S7)</f>
        <v/>
      </c>
      <c r="V13" s="2"/>
      <c r="W13" s="2" t="str">
        <f>IF(M7="","",M7)</f>
        <v/>
      </c>
      <c r="X13" s="2"/>
      <c r="Y13" s="2" t="str">
        <f t="shared" si="12"/>
        <v/>
      </c>
      <c r="Z13" s="2" t="str">
        <f t="shared" si="13"/>
        <v/>
      </c>
      <c r="AA13" s="2" t="str">
        <f t="shared" si="14"/>
        <v/>
      </c>
    </row>
    <row r="14" spans="1:27" x14ac:dyDescent="0.2">
      <c r="A14" s="3">
        <v>11</v>
      </c>
      <c r="B14" s="15"/>
      <c r="C14" s="15"/>
      <c r="D14" s="15"/>
      <c r="E14" s="15"/>
      <c r="F14" s="16"/>
      <c r="G14" s="2" t="str">
        <f t="shared" si="16"/>
        <v/>
      </c>
      <c r="H14" s="2" t="str" cm="1">
        <f t="array" ref="H14">revcomp(G14)</f>
        <v/>
      </c>
      <c r="I14" s="2"/>
      <c r="J14" s="2" t="str">
        <f t="shared" si="1"/>
        <v/>
      </c>
      <c r="K14" s="2" t="str">
        <f t="shared" si="9"/>
        <v/>
      </c>
      <c r="L14" s="2" t="str">
        <f t="shared" si="2"/>
        <v/>
      </c>
      <c r="M14" s="2" t="str">
        <f t="shared" si="10"/>
        <v/>
      </c>
      <c r="N14" s="5" t="s">
        <v>25</v>
      </c>
      <c r="P14" s="2" t="str">
        <f t="shared" si="3"/>
        <v/>
      </c>
      <c r="Q14" s="2" t="str">
        <f t="shared" si="4"/>
        <v/>
      </c>
      <c r="R14" s="2" t="str">
        <f t="shared" si="8"/>
        <v/>
      </c>
      <c r="S14" s="14" t="str">
        <f t="shared" si="11"/>
        <v/>
      </c>
      <c r="U14" s="2" t="str">
        <f>IF(J8="","",J8&amp;"_ORF"&amp;S8)</f>
        <v/>
      </c>
      <c r="V14" s="2"/>
      <c r="W14" s="2" t="str">
        <f>IF(K8="","",K8)</f>
        <v/>
      </c>
      <c r="X14" s="2"/>
      <c r="Y14" s="2" t="str">
        <f t="shared" si="12"/>
        <v/>
      </c>
      <c r="Z14" s="2" t="str">
        <f t="shared" si="13"/>
        <v/>
      </c>
      <c r="AA14" s="2" t="str">
        <f t="shared" si="14"/>
        <v/>
      </c>
    </row>
    <row r="15" spans="1:27" x14ac:dyDescent="0.2">
      <c r="A15" s="3">
        <v>12</v>
      </c>
      <c r="B15" s="15"/>
      <c r="C15" s="15"/>
      <c r="D15" s="15"/>
      <c r="E15" s="15"/>
      <c r="F15" s="16"/>
      <c r="G15" s="2" t="str">
        <f t="shared" si="16"/>
        <v/>
      </c>
      <c r="H15" s="2" t="str" cm="1">
        <f t="array" ref="H15">revcomp(G15)</f>
        <v/>
      </c>
      <c r="I15" s="2"/>
      <c r="J15" s="2" t="str">
        <f t="shared" si="1"/>
        <v/>
      </c>
      <c r="K15" s="2" t="str">
        <f t="shared" si="9"/>
        <v/>
      </c>
      <c r="L15" s="2" t="str">
        <f t="shared" si="2"/>
        <v/>
      </c>
      <c r="M15" s="2" t="str">
        <f t="shared" si="10"/>
        <v/>
      </c>
      <c r="N15" s="5" t="s">
        <v>25</v>
      </c>
      <c r="P15" s="2" t="str">
        <f t="shared" si="3"/>
        <v/>
      </c>
      <c r="Q15" s="2" t="str">
        <f t="shared" si="4"/>
        <v/>
      </c>
      <c r="R15" s="2" t="str">
        <f t="shared" si="8"/>
        <v/>
      </c>
      <c r="S15" s="14" t="str">
        <f t="shared" si="11"/>
        <v/>
      </c>
      <c r="U15" s="2" t="str">
        <f>IF(L8="","",L8&amp;"_ORF"&amp;S8)</f>
        <v/>
      </c>
      <c r="V15" s="2"/>
      <c r="W15" s="2" t="str">
        <f>IF(M8="","",M8)</f>
        <v/>
      </c>
      <c r="X15" s="2"/>
      <c r="Y15" s="2" t="str">
        <f t="shared" si="12"/>
        <v/>
      </c>
      <c r="Z15" s="2" t="str">
        <f t="shared" si="13"/>
        <v/>
      </c>
      <c r="AA15" s="2" t="str">
        <f t="shared" si="14"/>
        <v/>
      </c>
    </row>
    <row r="16" spans="1:27" x14ac:dyDescent="0.2">
      <c r="A16" s="3">
        <v>13</v>
      </c>
      <c r="B16" s="15"/>
      <c r="C16" s="15"/>
      <c r="D16" s="15"/>
      <c r="E16" s="15"/>
      <c r="F16" s="16"/>
      <c r="G16" s="2" t="str">
        <f t="shared" si="16"/>
        <v/>
      </c>
      <c r="H16" s="2" t="str" cm="1">
        <f t="array" ref="H16">revcomp(G16)</f>
        <v/>
      </c>
      <c r="I16" s="2"/>
      <c r="J16" s="2" t="str">
        <f t="shared" si="1"/>
        <v/>
      </c>
      <c r="K16" s="2" t="str">
        <f t="shared" si="9"/>
        <v/>
      </c>
      <c r="L16" s="2" t="str">
        <f t="shared" si="2"/>
        <v/>
      </c>
      <c r="M16" s="2" t="str">
        <f t="shared" si="10"/>
        <v/>
      </c>
      <c r="N16" s="5" t="s">
        <v>25</v>
      </c>
      <c r="P16" s="2" t="str">
        <f t="shared" si="3"/>
        <v/>
      </c>
      <c r="Q16" s="2" t="str">
        <f t="shared" si="4"/>
        <v/>
      </c>
      <c r="R16" s="2" t="str">
        <f t="shared" si="8"/>
        <v/>
      </c>
      <c r="S16" s="14" t="str">
        <f t="shared" si="11"/>
        <v/>
      </c>
      <c r="U16" s="2" t="str">
        <f>IF(J9="","",J9&amp;"_ORF"&amp;S9)</f>
        <v/>
      </c>
      <c r="V16" s="2"/>
      <c r="W16" s="2" t="str">
        <f>IF(K9="","",K9)</f>
        <v/>
      </c>
      <c r="X16" s="2"/>
      <c r="Y16" s="2" t="str">
        <f t="shared" si="12"/>
        <v/>
      </c>
      <c r="Z16" s="2" t="str">
        <f t="shared" si="13"/>
        <v/>
      </c>
      <c r="AA16" s="2" t="str">
        <f t="shared" si="14"/>
        <v/>
      </c>
    </row>
    <row r="17" spans="1:27" x14ac:dyDescent="0.2">
      <c r="A17" s="3">
        <v>14</v>
      </c>
      <c r="B17" s="15"/>
      <c r="C17" s="15"/>
      <c r="D17" s="15"/>
      <c r="E17" s="15"/>
      <c r="F17" s="16"/>
      <c r="G17" s="2" t="str">
        <f t="shared" si="16"/>
        <v/>
      </c>
      <c r="H17" s="2" t="str" cm="1">
        <f t="array" ref="H17">revcomp(G17)</f>
        <v/>
      </c>
      <c r="I17" s="2"/>
      <c r="J17" s="2" t="str">
        <f t="shared" si="1"/>
        <v/>
      </c>
      <c r="K17" s="2" t="str">
        <f t="shared" si="9"/>
        <v/>
      </c>
      <c r="L17" s="2" t="str">
        <f t="shared" si="2"/>
        <v/>
      </c>
      <c r="M17" s="2" t="str">
        <f t="shared" si="10"/>
        <v/>
      </c>
      <c r="N17" s="5" t="s">
        <v>25</v>
      </c>
      <c r="P17" s="2" t="str">
        <f t="shared" si="3"/>
        <v/>
      </c>
      <c r="Q17" s="2" t="str">
        <f t="shared" si="4"/>
        <v/>
      </c>
      <c r="R17" s="2" t="str">
        <f t="shared" si="8"/>
        <v/>
      </c>
      <c r="S17" s="14" t="str">
        <f t="shared" si="11"/>
        <v/>
      </c>
      <c r="U17" s="2" t="str">
        <f>IF(L9="","",L9&amp;"_ORF"&amp;S9)</f>
        <v/>
      </c>
      <c r="V17" s="2"/>
      <c r="W17" s="2" t="str">
        <f>IF(M9="","",M9)</f>
        <v/>
      </c>
      <c r="X17" s="2"/>
      <c r="Y17" s="2" t="str">
        <f t="shared" si="12"/>
        <v/>
      </c>
      <c r="Z17" s="2" t="str">
        <f t="shared" si="13"/>
        <v/>
      </c>
      <c r="AA17" s="2" t="str">
        <f t="shared" si="14"/>
        <v/>
      </c>
    </row>
    <row r="18" spans="1:27" x14ac:dyDescent="0.2">
      <c r="A18" s="3">
        <v>15</v>
      </c>
      <c r="B18" s="15"/>
      <c r="C18" s="15"/>
      <c r="D18" s="15"/>
      <c r="E18" s="15"/>
      <c r="F18" s="16"/>
      <c r="G18" s="2" t="str">
        <f t="shared" si="16"/>
        <v/>
      </c>
      <c r="H18" s="2" t="str" cm="1">
        <f t="array" ref="H18">revcomp(G18)</f>
        <v/>
      </c>
      <c r="I18" s="2"/>
      <c r="J18" s="2" t="str">
        <f t="shared" si="1"/>
        <v/>
      </c>
      <c r="K18" s="2" t="str">
        <f t="shared" si="9"/>
        <v/>
      </c>
      <c r="L18" s="2" t="str">
        <f t="shared" si="2"/>
        <v/>
      </c>
      <c r="M18" s="2" t="str">
        <f t="shared" si="10"/>
        <v/>
      </c>
      <c r="N18" s="5" t="s">
        <v>25</v>
      </c>
      <c r="P18" s="2" t="str">
        <f t="shared" si="3"/>
        <v/>
      </c>
      <c r="Q18" s="2" t="str">
        <f t="shared" si="4"/>
        <v/>
      </c>
      <c r="R18" s="2" t="str">
        <f t="shared" si="8"/>
        <v/>
      </c>
      <c r="S18" s="14" t="str">
        <f t="shared" si="11"/>
        <v/>
      </c>
      <c r="U18" s="2" t="str">
        <f>IF(J10="","",J10&amp;"_ORF"&amp;S10)</f>
        <v/>
      </c>
      <c r="V18" s="2"/>
      <c r="W18" s="2" t="str">
        <f>IF(K10="","",K10)</f>
        <v/>
      </c>
      <c r="X18" s="2"/>
      <c r="Y18" s="2" t="str">
        <f t="shared" ref="Y18:Y25" si="17">IF(W18="","","0.025")</f>
        <v/>
      </c>
      <c r="Z18" s="2" t="str">
        <f t="shared" ref="Z18:Z25" si="18">IF(W18="","","Desalt")</f>
        <v/>
      </c>
      <c r="AA18" s="2" t="str">
        <f t="shared" ref="AA18:AA25" si="19">IF(W18="","","Dry")</f>
        <v/>
      </c>
    </row>
    <row r="19" spans="1:27" x14ac:dyDescent="0.2">
      <c r="A19" s="3">
        <v>16</v>
      </c>
      <c r="B19" s="15"/>
      <c r="C19" s="15"/>
      <c r="D19" s="15"/>
      <c r="E19" s="15"/>
      <c r="F19" s="16"/>
      <c r="G19" s="2" t="str">
        <f t="shared" si="16"/>
        <v/>
      </c>
      <c r="H19" s="2" t="str" cm="1">
        <f t="array" ref="H19">revcomp(G19)</f>
        <v/>
      </c>
      <c r="I19" s="2"/>
      <c r="J19" s="2" t="str">
        <f t="shared" si="1"/>
        <v/>
      </c>
      <c r="K19" s="2" t="str">
        <f t="shared" si="9"/>
        <v/>
      </c>
      <c r="L19" s="2" t="str">
        <f t="shared" si="2"/>
        <v/>
      </c>
      <c r="M19" s="2" t="str">
        <f t="shared" si="10"/>
        <v/>
      </c>
      <c r="N19" s="5" t="s">
        <v>25</v>
      </c>
      <c r="P19" s="2" t="str">
        <f t="shared" si="3"/>
        <v/>
      </c>
      <c r="Q19" s="2" t="str">
        <f t="shared" si="4"/>
        <v/>
      </c>
      <c r="R19" s="2" t="str">
        <f t="shared" si="8"/>
        <v/>
      </c>
      <c r="S19" s="14" t="str">
        <f t="shared" si="11"/>
        <v/>
      </c>
      <c r="U19" s="2" t="str">
        <f>IF(L10="","",L10&amp;"_ORF"&amp;S10)</f>
        <v/>
      </c>
      <c r="V19" s="2"/>
      <c r="W19" s="2" t="str">
        <f>IF(M10="","",M10)</f>
        <v/>
      </c>
      <c r="X19" s="2"/>
      <c r="Y19" s="2" t="str">
        <f t="shared" si="17"/>
        <v/>
      </c>
      <c r="Z19" s="2" t="str">
        <f t="shared" si="18"/>
        <v/>
      </c>
      <c r="AA19" s="2" t="str">
        <f t="shared" si="19"/>
        <v/>
      </c>
    </row>
    <row r="20" spans="1:27" x14ac:dyDescent="0.2">
      <c r="A20" s="3">
        <v>17</v>
      </c>
      <c r="B20" s="17"/>
      <c r="C20" s="17"/>
      <c r="D20" s="17"/>
      <c r="E20" s="17"/>
      <c r="F20" s="18"/>
      <c r="G20" s="2" t="str">
        <f t="shared" si="16"/>
        <v/>
      </c>
      <c r="H20" s="2" t="str" cm="1">
        <f t="array" ref="H20">revcomp(G20)</f>
        <v/>
      </c>
      <c r="I20" s="2"/>
      <c r="J20" s="2" t="str">
        <f t="shared" si="1"/>
        <v/>
      </c>
      <c r="K20" s="2" t="str">
        <f t="shared" si="9"/>
        <v/>
      </c>
      <c r="L20" s="2" t="str">
        <f t="shared" si="2"/>
        <v/>
      </c>
      <c r="M20" s="2" t="str">
        <f t="shared" si="10"/>
        <v/>
      </c>
      <c r="N20" s="5" t="s">
        <v>25</v>
      </c>
      <c r="P20" s="2" t="str">
        <f t="shared" si="3"/>
        <v/>
      </c>
      <c r="Q20" s="2" t="str">
        <f t="shared" si="4"/>
        <v/>
      </c>
      <c r="R20" s="2" t="str">
        <f t="shared" si="8"/>
        <v/>
      </c>
      <c r="S20" s="14" t="str">
        <f t="shared" si="11"/>
        <v/>
      </c>
      <c r="U20" s="2" t="str">
        <f>IF(J11="","",J11&amp;"_ORF"&amp;S11)</f>
        <v/>
      </c>
      <c r="V20" s="2"/>
      <c r="W20" s="2" t="str">
        <f>IF(K11="","",K11)</f>
        <v/>
      </c>
      <c r="X20" s="2"/>
      <c r="Y20" s="2" t="str">
        <f t="shared" si="17"/>
        <v/>
      </c>
      <c r="Z20" s="2" t="str">
        <f t="shared" si="18"/>
        <v/>
      </c>
      <c r="AA20" s="2" t="str">
        <f t="shared" si="19"/>
        <v/>
      </c>
    </row>
    <row r="21" spans="1:27" x14ac:dyDescent="0.2">
      <c r="A21" s="3">
        <v>18</v>
      </c>
      <c r="B21" s="17"/>
      <c r="C21" s="17"/>
      <c r="D21" s="17"/>
      <c r="E21" s="17"/>
      <c r="F21" s="18"/>
      <c r="G21" s="2" t="str">
        <f t="shared" si="16"/>
        <v/>
      </c>
      <c r="H21" s="2" t="str" cm="1">
        <f t="array" ref="H21">revcomp(G21)</f>
        <v/>
      </c>
      <c r="I21" s="2"/>
      <c r="J21" s="2" t="str">
        <f t="shared" si="1"/>
        <v/>
      </c>
      <c r="K21" s="2" t="str">
        <f t="shared" si="9"/>
        <v/>
      </c>
      <c r="L21" s="2" t="str">
        <f t="shared" si="2"/>
        <v/>
      </c>
      <c r="M21" s="2" t="str">
        <f t="shared" si="10"/>
        <v/>
      </c>
      <c r="N21" s="5" t="s">
        <v>25</v>
      </c>
      <c r="P21" s="2" t="str">
        <f t="shared" si="3"/>
        <v/>
      </c>
      <c r="Q21" s="2" t="str">
        <f t="shared" si="4"/>
        <v/>
      </c>
      <c r="R21" s="2" t="str">
        <f t="shared" si="8"/>
        <v/>
      </c>
      <c r="S21" s="14" t="str">
        <f t="shared" si="11"/>
        <v/>
      </c>
      <c r="U21" s="2" t="str">
        <f>IF(L11="","",L11&amp;"_ORF"&amp;S11)</f>
        <v/>
      </c>
      <c r="V21" s="2"/>
      <c r="W21" s="2" t="str">
        <f>IF(M11="","",M11)</f>
        <v/>
      </c>
      <c r="X21" s="2"/>
      <c r="Y21" s="2" t="str">
        <f t="shared" si="17"/>
        <v/>
      </c>
      <c r="Z21" s="2" t="str">
        <f t="shared" si="18"/>
        <v/>
      </c>
      <c r="AA21" s="2" t="str">
        <f t="shared" si="19"/>
        <v/>
      </c>
    </row>
    <row r="22" spans="1:27" x14ac:dyDescent="0.2">
      <c r="A22" s="3">
        <v>19</v>
      </c>
      <c r="B22" s="17"/>
      <c r="C22" s="17"/>
      <c r="D22" s="17"/>
      <c r="E22" s="17"/>
      <c r="F22" s="18"/>
      <c r="G22" s="2" t="str">
        <f t="shared" si="16"/>
        <v/>
      </c>
      <c r="H22" s="2" t="str" cm="1">
        <f t="array" ref="H22">revcomp(G22)</f>
        <v/>
      </c>
      <c r="I22" s="2"/>
      <c r="J22" s="2" t="str">
        <f t="shared" si="1"/>
        <v/>
      </c>
      <c r="K22" s="2" t="str">
        <f t="shared" si="9"/>
        <v/>
      </c>
      <c r="L22" s="2" t="str">
        <f t="shared" si="2"/>
        <v/>
      </c>
      <c r="M22" s="2" t="str">
        <f t="shared" si="10"/>
        <v/>
      </c>
      <c r="N22" s="5" t="s">
        <v>25</v>
      </c>
      <c r="P22" s="2" t="str">
        <f t="shared" si="3"/>
        <v/>
      </c>
      <c r="Q22" s="2" t="str">
        <f t="shared" si="4"/>
        <v/>
      </c>
      <c r="R22" s="2" t="str">
        <f t="shared" si="8"/>
        <v/>
      </c>
      <c r="S22" s="14" t="str">
        <f t="shared" si="11"/>
        <v/>
      </c>
      <c r="U22" s="2" t="str">
        <f>IF(J12="","",J12&amp;"_ORF"&amp;S12)</f>
        <v/>
      </c>
      <c r="V22" s="2"/>
      <c r="W22" s="2" t="str">
        <f>IF(K12="","",K12)</f>
        <v/>
      </c>
      <c r="X22" s="2"/>
      <c r="Y22" s="2" t="str">
        <f t="shared" si="17"/>
        <v/>
      </c>
      <c r="Z22" s="2" t="str">
        <f t="shared" si="18"/>
        <v/>
      </c>
      <c r="AA22" s="2" t="str">
        <f t="shared" si="19"/>
        <v/>
      </c>
    </row>
    <row r="23" spans="1:27" x14ac:dyDescent="0.2">
      <c r="A23" s="3">
        <v>20</v>
      </c>
      <c r="B23" s="17"/>
      <c r="C23" s="17"/>
      <c r="D23" s="17"/>
      <c r="E23" s="17"/>
      <c r="F23" s="18"/>
      <c r="G23" s="2" t="str">
        <f t="shared" si="16"/>
        <v/>
      </c>
      <c r="H23" s="2" t="str" cm="1">
        <f t="array" ref="H23">revcomp(G23)</f>
        <v/>
      </c>
      <c r="I23" s="2"/>
      <c r="J23" s="2" t="str">
        <f t="shared" si="1"/>
        <v/>
      </c>
      <c r="K23" s="2" t="str">
        <f t="shared" si="9"/>
        <v/>
      </c>
      <c r="L23" s="2" t="str">
        <f t="shared" si="2"/>
        <v/>
      </c>
      <c r="M23" s="2" t="str">
        <f t="shared" si="10"/>
        <v/>
      </c>
      <c r="N23" s="5" t="s">
        <v>25</v>
      </c>
      <c r="P23" s="2" t="str">
        <f t="shared" si="3"/>
        <v/>
      </c>
      <c r="Q23" s="2" t="str">
        <f t="shared" si="4"/>
        <v/>
      </c>
      <c r="R23" s="2" t="str">
        <f t="shared" si="8"/>
        <v/>
      </c>
      <c r="S23" s="14" t="str">
        <f t="shared" si="11"/>
        <v/>
      </c>
      <c r="U23" s="2" t="str">
        <f>IF(L12="","",L12&amp;"_ORF"&amp;S12)</f>
        <v/>
      </c>
      <c r="V23" s="2"/>
      <c r="W23" s="2" t="str">
        <f>IF(M12="","",M12)</f>
        <v/>
      </c>
      <c r="X23" s="2"/>
      <c r="Y23" s="2" t="str">
        <f t="shared" si="17"/>
        <v/>
      </c>
      <c r="Z23" s="2" t="str">
        <f t="shared" si="18"/>
        <v/>
      </c>
      <c r="AA23" s="2" t="str">
        <f t="shared" si="19"/>
        <v/>
      </c>
    </row>
    <row r="24" spans="1:27" x14ac:dyDescent="0.2">
      <c r="U24" s="2" t="str">
        <f>IF(J13="","",J13&amp;"_ORF"&amp;S13)</f>
        <v/>
      </c>
      <c r="V24" s="2"/>
      <c r="W24" s="2" t="str">
        <f>IF(K13="","",K13)</f>
        <v/>
      </c>
      <c r="X24" s="2"/>
      <c r="Y24" s="2" t="str">
        <f t="shared" si="17"/>
        <v/>
      </c>
      <c r="Z24" s="2" t="str">
        <f t="shared" si="18"/>
        <v/>
      </c>
      <c r="AA24" s="2" t="str">
        <f t="shared" si="19"/>
        <v/>
      </c>
    </row>
    <row r="25" spans="1:27" x14ac:dyDescent="0.2">
      <c r="U25" s="2" t="str">
        <f>IF(L13="","",L13&amp;"_ORF"&amp;S13)</f>
        <v/>
      </c>
      <c r="V25" s="2"/>
      <c r="W25" s="2" t="str">
        <f>IF(M13="","",M13)</f>
        <v/>
      </c>
      <c r="X25" s="2"/>
      <c r="Y25" s="2" t="str">
        <f t="shared" si="17"/>
        <v/>
      </c>
      <c r="Z25" s="2" t="str">
        <f t="shared" si="18"/>
        <v/>
      </c>
      <c r="AA25" s="2" t="str">
        <f t="shared" si="19"/>
        <v/>
      </c>
    </row>
    <row r="26" spans="1:27" x14ac:dyDescent="0.2">
      <c r="U26" s="2" t="str">
        <f>IF(J14="","",J14&amp;"_ORF"&amp;S14)</f>
        <v/>
      </c>
      <c r="V26" s="2"/>
      <c r="W26" s="2" t="str">
        <f>IF(K14="","",K14)</f>
        <v/>
      </c>
      <c r="X26" s="2"/>
      <c r="Y26" s="2" t="str">
        <f t="shared" ref="Y26:Y39" si="20">IF(W26="","","0.025")</f>
        <v/>
      </c>
      <c r="Z26" s="2" t="str">
        <f t="shared" ref="Z26:Z39" si="21">IF(W26="","","Desalt")</f>
        <v/>
      </c>
      <c r="AA26" s="2" t="str">
        <f t="shared" ref="AA26:AA39" si="22">IF(W26="","","Dry")</f>
        <v/>
      </c>
    </row>
    <row r="27" spans="1:27" x14ac:dyDescent="0.2">
      <c r="U27" s="2" t="str">
        <f>IF(L14="","",L14&amp;"_ORF"&amp;S14)</f>
        <v/>
      </c>
      <c r="V27" s="2"/>
      <c r="W27" s="2" t="str">
        <f>IF(M14="","",M14)</f>
        <v/>
      </c>
      <c r="X27" s="2"/>
      <c r="Y27" s="2" t="str">
        <f t="shared" si="20"/>
        <v/>
      </c>
      <c r="Z27" s="2" t="str">
        <f t="shared" si="21"/>
        <v/>
      </c>
      <c r="AA27" s="2" t="str">
        <f t="shared" si="22"/>
        <v/>
      </c>
    </row>
    <row r="28" spans="1:27" x14ac:dyDescent="0.2">
      <c r="U28" s="2" t="str">
        <f>IF(J15="","",J15&amp;"_ORF"&amp;S15)</f>
        <v/>
      </c>
      <c r="V28" s="2"/>
      <c r="W28" s="2" t="str">
        <f>IF(K15="","",K15)</f>
        <v/>
      </c>
      <c r="X28" s="2"/>
      <c r="Y28" s="2" t="str">
        <f t="shared" si="20"/>
        <v/>
      </c>
      <c r="Z28" s="2" t="str">
        <f t="shared" si="21"/>
        <v/>
      </c>
      <c r="AA28" s="2" t="str">
        <f t="shared" si="22"/>
        <v/>
      </c>
    </row>
    <row r="29" spans="1:27" x14ac:dyDescent="0.2">
      <c r="U29" s="2" t="str">
        <f>IF(L15="","",L15&amp;"_ORF"&amp;S15)</f>
        <v/>
      </c>
      <c r="V29" s="2"/>
      <c r="W29" s="2" t="str">
        <f>IF(M15="","",M15)</f>
        <v/>
      </c>
      <c r="X29" s="2"/>
      <c r="Y29" s="2" t="str">
        <f t="shared" si="20"/>
        <v/>
      </c>
      <c r="Z29" s="2" t="str">
        <f t="shared" si="21"/>
        <v/>
      </c>
      <c r="AA29" s="2" t="str">
        <f t="shared" si="22"/>
        <v/>
      </c>
    </row>
    <row r="30" spans="1:27" x14ac:dyDescent="0.2">
      <c r="U30" s="2" t="str">
        <f>IF(J16="","",J16&amp;"_ORF"&amp;S16)</f>
        <v/>
      </c>
      <c r="V30" s="2"/>
      <c r="W30" s="2" t="str">
        <f>IF(K16="","",K16)</f>
        <v/>
      </c>
      <c r="X30" s="2"/>
      <c r="Y30" s="2" t="str">
        <f t="shared" si="20"/>
        <v/>
      </c>
      <c r="Z30" s="2" t="str">
        <f t="shared" si="21"/>
        <v/>
      </c>
      <c r="AA30" s="2" t="str">
        <f t="shared" si="22"/>
        <v/>
      </c>
    </row>
    <row r="31" spans="1:27" x14ac:dyDescent="0.2">
      <c r="U31" s="2" t="str">
        <f>IF(L16="","",L16&amp;"_ORF"&amp;S16)</f>
        <v/>
      </c>
      <c r="V31" s="2"/>
      <c r="W31" s="2" t="str">
        <f>IF(M16="","",M16)</f>
        <v/>
      </c>
      <c r="X31" s="2"/>
      <c r="Y31" s="2" t="str">
        <f t="shared" si="20"/>
        <v/>
      </c>
      <c r="Z31" s="2" t="str">
        <f t="shared" si="21"/>
        <v/>
      </c>
      <c r="AA31" s="2" t="str">
        <f t="shared" si="22"/>
        <v/>
      </c>
    </row>
    <row r="32" spans="1:27" x14ac:dyDescent="0.2">
      <c r="U32" s="2" t="str">
        <f>IF(J17="","",J17&amp;"_ORF"&amp;S17)</f>
        <v/>
      </c>
      <c r="V32" s="2"/>
      <c r="W32" s="2" t="str">
        <f>IF(K17="","",K17)</f>
        <v/>
      </c>
      <c r="X32" s="2"/>
      <c r="Y32" s="2" t="str">
        <f t="shared" si="20"/>
        <v/>
      </c>
      <c r="Z32" s="2" t="str">
        <f t="shared" si="21"/>
        <v/>
      </c>
      <c r="AA32" s="2" t="str">
        <f t="shared" si="22"/>
        <v/>
      </c>
    </row>
    <row r="33" spans="21:27" x14ac:dyDescent="0.2">
      <c r="U33" s="2" t="str">
        <f>IF(L17="","",L17&amp;"_ORF"&amp;S17)</f>
        <v/>
      </c>
      <c r="V33" s="2"/>
      <c r="W33" s="2" t="str">
        <f>IF(M17="","",M17)</f>
        <v/>
      </c>
      <c r="X33" s="2"/>
      <c r="Y33" s="2" t="str">
        <f t="shared" si="20"/>
        <v/>
      </c>
      <c r="Z33" s="2" t="str">
        <f t="shared" si="21"/>
        <v/>
      </c>
      <c r="AA33" s="2" t="str">
        <f t="shared" si="22"/>
        <v/>
      </c>
    </row>
    <row r="34" spans="21:27" x14ac:dyDescent="0.2">
      <c r="U34" s="2" t="str">
        <f>IF(J18="","",J18&amp;"_ORF"&amp;S18)</f>
        <v/>
      </c>
      <c r="V34" s="2"/>
      <c r="W34" s="2" t="str">
        <f>IF(K18="","",K18)</f>
        <v/>
      </c>
      <c r="X34" s="2"/>
      <c r="Y34" s="2" t="str">
        <f t="shared" si="20"/>
        <v/>
      </c>
      <c r="Z34" s="2" t="str">
        <f t="shared" si="21"/>
        <v/>
      </c>
      <c r="AA34" s="2" t="str">
        <f t="shared" si="22"/>
        <v/>
      </c>
    </row>
    <row r="35" spans="21:27" x14ac:dyDescent="0.2">
      <c r="U35" s="2" t="str">
        <f>IF(L18="","",L18&amp;"_ORF"&amp;S18)</f>
        <v/>
      </c>
      <c r="V35" s="2"/>
      <c r="W35" s="2" t="str">
        <f>IF(M18="","",M18)</f>
        <v/>
      </c>
      <c r="X35" s="2"/>
      <c r="Y35" s="2" t="str">
        <f t="shared" si="20"/>
        <v/>
      </c>
      <c r="Z35" s="2" t="str">
        <f t="shared" si="21"/>
        <v/>
      </c>
      <c r="AA35" s="2" t="str">
        <f t="shared" si="22"/>
        <v/>
      </c>
    </row>
    <row r="36" spans="21:27" x14ac:dyDescent="0.2">
      <c r="U36" s="2" t="str">
        <f>IF(J19="","",J19&amp;"_ORF"&amp;S19)</f>
        <v/>
      </c>
      <c r="V36" s="2"/>
      <c r="W36" s="2" t="str">
        <f>IF(K19="","",K19)</f>
        <v/>
      </c>
      <c r="X36" s="2"/>
      <c r="Y36" s="2" t="str">
        <f t="shared" si="20"/>
        <v/>
      </c>
      <c r="Z36" s="2" t="str">
        <f t="shared" si="21"/>
        <v/>
      </c>
      <c r="AA36" s="2" t="str">
        <f t="shared" si="22"/>
        <v/>
      </c>
    </row>
    <row r="37" spans="21:27" x14ac:dyDescent="0.2">
      <c r="U37" s="2" t="str">
        <f>IF(L19="","",L19&amp;"_ORF"&amp;S19)</f>
        <v/>
      </c>
      <c r="V37" s="2"/>
      <c r="W37" s="2" t="str">
        <f>IF(M19="","",M19)</f>
        <v/>
      </c>
      <c r="X37" s="2"/>
      <c r="Y37" s="2" t="str">
        <f t="shared" si="20"/>
        <v/>
      </c>
      <c r="Z37" s="2" t="str">
        <f t="shared" si="21"/>
        <v/>
      </c>
      <c r="AA37" s="2" t="str">
        <f t="shared" si="22"/>
        <v/>
      </c>
    </row>
    <row r="38" spans="21:27" x14ac:dyDescent="0.2">
      <c r="U38" s="2" t="str">
        <f>IF(J20="","",J20&amp;"_ORF"&amp;S20)</f>
        <v/>
      </c>
      <c r="V38" s="2"/>
      <c r="W38" s="2" t="str">
        <f>IF(K20="","",K20)</f>
        <v/>
      </c>
      <c r="X38" s="2"/>
      <c r="Y38" s="2" t="str">
        <f t="shared" si="20"/>
        <v/>
      </c>
      <c r="Z38" s="2" t="str">
        <f t="shared" si="21"/>
        <v/>
      </c>
      <c r="AA38" s="2" t="str">
        <f t="shared" si="22"/>
        <v/>
      </c>
    </row>
    <row r="39" spans="21:27" x14ac:dyDescent="0.2">
      <c r="U39" s="2" t="str">
        <f>IF(L20="","",L20&amp;"_ORF"&amp;S20)</f>
        <v/>
      </c>
      <c r="V39" s="2"/>
      <c r="W39" s="2" t="str">
        <f>IF(M20="","",M20)</f>
        <v/>
      </c>
      <c r="X39" s="2"/>
      <c r="Y39" s="2" t="str">
        <f t="shared" si="20"/>
        <v/>
      </c>
      <c r="Z39" s="2" t="str">
        <f t="shared" si="21"/>
        <v/>
      </c>
      <c r="AA39" s="2" t="str">
        <f t="shared" si="22"/>
        <v/>
      </c>
    </row>
    <row r="40" spans="21:27" x14ac:dyDescent="0.2">
      <c r="U40" s="2" t="str">
        <f>IF(J21="","",J21&amp;"_ORF"&amp;S21)</f>
        <v/>
      </c>
      <c r="V40" s="2"/>
      <c r="W40" s="2" t="str">
        <f>IF(K21="","",K21)</f>
        <v/>
      </c>
      <c r="X40" s="2"/>
      <c r="Y40" s="2" t="str">
        <f t="shared" ref="Y40:Y45" si="23">IF(W40="","","0.025")</f>
        <v/>
      </c>
      <c r="Z40" s="2" t="str">
        <f t="shared" ref="Z40:Z45" si="24">IF(W40="","","Desalt")</f>
        <v/>
      </c>
      <c r="AA40" s="2" t="str">
        <f t="shared" ref="AA40:AA45" si="25">IF(W40="","","Dry")</f>
        <v/>
      </c>
    </row>
    <row r="41" spans="21:27" x14ac:dyDescent="0.2">
      <c r="U41" s="2" t="str">
        <f>IF(L21="","",L21&amp;"_ORF"&amp;S21)</f>
        <v/>
      </c>
      <c r="V41" s="2"/>
      <c r="W41" s="2" t="str">
        <f>IF(M21="","",M21)</f>
        <v/>
      </c>
      <c r="X41" s="2"/>
      <c r="Y41" s="2" t="str">
        <f t="shared" si="23"/>
        <v/>
      </c>
      <c r="Z41" s="2" t="str">
        <f t="shared" si="24"/>
        <v/>
      </c>
      <c r="AA41" s="2" t="str">
        <f t="shared" si="25"/>
        <v/>
      </c>
    </row>
    <row r="42" spans="21:27" x14ac:dyDescent="0.2">
      <c r="U42" s="2" t="str">
        <f>IF(J22="","",J22&amp;"_ORF"&amp;S22)</f>
        <v/>
      </c>
      <c r="V42" s="2"/>
      <c r="W42" s="2" t="str">
        <f>IF(K22="","",K22)</f>
        <v/>
      </c>
      <c r="X42" s="2"/>
      <c r="Y42" s="2" t="str">
        <f t="shared" si="23"/>
        <v/>
      </c>
      <c r="Z42" s="2" t="str">
        <f t="shared" si="24"/>
        <v/>
      </c>
      <c r="AA42" s="2" t="str">
        <f t="shared" si="25"/>
        <v/>
      </c>
    </row>
    <row r="43" spans="21:27" x14ac:dyDescent="0.2">
      <c r="U43" s="2" t="str">
        <f>IF(L22="","",L22&amp;"_ORF"&amp;S22)</f>
        <v/>
      </c>
      <c r="V43" s="2"/>
      <c r="W43" s="2" t="str">
        <f>IF(M22="","",M22)</f>
        <v/>
      </c>
      <c r="X43" s="2"/>
      <c r="Y43" s="2" t="str">
        <f t="shared" si="23"/>
        <v/>
      </c>
      <c r="Z43" s="2" t="str">
        <f t="shared" si="24"/>
        <v/>
      </c>
      <c r="AA43" s="2" t="str">
        <f t="shared" si="25"/>
        <v/>
      </c>
    </row>
    <row r="44" spans="21:27" x14ac:dyDescent="0.2">
      <c r="U44" s="2" t="str">
        <f>IF(J23="","",J23&amp;"_ORF"&amp;S23)</f>
        <v/>
      </c>
      <c r="V44" s="2"/>
      <c r="W44" s="2" t="str">
        <f>IF(K23="","",K23)</f>
        <v/>
      </c>
      <c r="X44" s="2"/>
      <c r="Y44" s="2" t="str">
        <f t="shared" si="23"/>
        <v/>
      </c>
      <c r="Z44" s="2" t="str">
        <f t="shared" si="24"/>
        <v/>
      </c>
      <c r="AA44" s="2" t="str">
        <f t="shared" si="25"/>
        <v/>
      </c>
    </row>
    <row r="45" spans="21:27" x14ac:dyDescent="0.2">
      <c r="U45" s="2" t="str">
        <f>IF(L23="","",L23&amp;"_ORF"&amp;S23)</f>
        <v/>
      </c>
      <c r="V45" s="2"/>
      <c r="W45" s="2" t="str">
        <f>IF(M23="","",M23)</f>
        <v/>
      </c>
      <c r="X45" s="2"/>
      <c r="Y45" s="2" t="str">
        <f t="shared" si="23"/>
        <v/>
      </c>
      <c r="Z45" s="2" t="str">
        <f t="shared" si="24"/>
        <v/>
      </c>
      <c r="AA45" s="2" t="str">
        <f t="shared" si="25"/>
        <v/>
      </c>
    </row>
  </sheetData>
  <sheetProtection algorithmName="SHA-512" hashValue="Q/TdoDOVCXuftv2sHhcnVcYKnInnEm+NnR6lhc+SS2bmxuGseTwwKgVatpEpnGSCyOmiW3E6ZS0yv5eG7LNOHA==" saltValue="7LVk78E8XNvUFU6L7oM/dg==" spinCount="100000" sheet="1" objects="1" scenarios="1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2021-11-11T18:37:44Z</dcterms:created>
  <dcterms:modified xsi:type="dcterms:W3CDTF">2022-10-19T16:53:07Z</dcterms:modified>
</cp:coreProperties>
</file>