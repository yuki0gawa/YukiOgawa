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ki/Desktop/"/>
    </mc:Choice>
  </mc:AlternateContent>
  <xr:revisionPtr revIDLastSave="0" documentId="8_{8C8D092F-AD4C-9945-8788-B45BD3B1864C}" xr6:coauthVersionLast="47" xr6:coauthVersionMax="47" xr10:uidLastSave="{00000000-0000-0000-0000-000000000000}"/>
  <bookViews>
    <workbookView xWindow="0" yWindow="460" windowWidth="40960" windowHeight="22580" xr2:uid="{D56AC15B-1356-124B-9D13-1F01AE7E3D4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1" l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I2" i="1"/>
  <c r="R46" i="1" l="1"/>
  <c r="T46" i="1"/>
  <c r="R47" i="1"/>
  <c r="T47" i="1"/>
  <c r="K23" i="1"/>
  <c r="R45" i="1" s="1"/>
  <c r="I23" i="1"/>
  <c r="F23" i="1"/>
  <c r="K22" i="1"/>
  <c r="R43" i="1" s="1"/>
  <c r="I22" i="1"/>
  <c r="R42" i="1" s="1"/>
  <c r="F22" i="1"/>
  <c r="K21" i="1"/>
  <c r="R41" i="1" s="1"/>
  <c r="I21" i="1"/>
  <c r="R40" i="1" s="1"/>
  <c r="F21" i="1"/>
  <c r="K20" i="1"/>
  <c r="R39" i="1" s="1"/>
  <c r="I20" i="1"/>
  <c r="F20" i="1"/>
  <c r="K19" i="1"/>
  <c r="R37" i="1" s="1"/>
  <c r="I19" i="1"/>
  <c r="R36" i="1" s="1"/>
  <c r="F19" i="1"/>
  <c r="K18" i="1"/>
  <c r="R35" i="1" s="1"/>
  <c r="I18" i="1"/>
  <c r="R34" i="1" s="1"/>
  <c r="F18" i="1"/>
  <c r="K17" i="1"/>
  <c r="R33" i="1" s="1"/>
  <c r="I17" i="1"/>
  <c r="F17" i="1"/>
  <c r="K16" i="1"/>
  <c r="R31" i="1" s="1"/>
  <c r="I16" i="1"/>
  <c r="R30" i="1" s="1"/>
  <c r="F16" i="1"/>
  <c r="K15" i="1"/>
  <c r="R29" i="1" s="1"/>
  <c r="I15" i="1"/>
  <c r="R28" i="1" s="1"/>
  <c r="F15" i="1"/>
  <c r="K14" i="1"/>
  <c r="R27" i="1" s="1"/>
  <c r="I14" i="1"/>
  <c r="F14" i="1"/>
  <c r="K13" i="1"/>
  <c r="R25" i="1" s="1"/>
  <c r="I13" i="1"/>
  <c r="R24" i="1" s="1"/>
  <c r="F13" i="1"/>
  <c r="K12" i="1"/>
  <c r="R23" i="1" s="1"/>
  <c r="I12" i="1"/>
  <c r="R22" i="1" s="1"/>
  <c r="F12" i="1"/>
  <c r="K11" i="1"/>
  <c r="R21" i="1" s="1"/>
  <c r="J11" i="1"/>
  <c r="T20" i="1" s="1"/>
  <c r="I11" i="1"/>
  <c r="F11" i="1"/>
  <c r="P11" i="1" s="1"/>
  <c r="K10" i="1"/>
  <c r="R19" i="1" s="1"/>
  <c r="I10" i="1"/>
  <c r="R18" i="1" s="1"/>
  <c r="F10" i="1"/>
  <c r="K9" i="1"/>
  <c r="R17" i="1" s="1"/>
  <c r="I9" i="1"/>
  <c r="R16" i="1" s="1"/>
  <c r="F9" i="1"/>
  <c r="K8" i="1"/>
  <c r="R15" i="1" s="1"/>
  <c r="I8" i="1"/>
  <c r="F8" i="1"/>
  <c r="K7" i="1"/>
  <c r="R13" i="1" s="1"/>
  <c r="I7" i="1"/>
  <c r="R12" i="1" s="1"/>
  <c r="F7" i="1"/>
  <c r="K6" i="1"/>
  <c r="R11" i="1" s="1"/>
  <c r="I6" i="1"/>
  <c r="R10" i="1" s="1"/>
  <c r="F6" i="1"/>
  <c r="K5" i="1"/>
  <c r="R9" i="1" s="1"/>
  <c r="I5" i="1"/>
  <c r="F5" i="1"/>
  <c r="K3" i="1"/>
  <c r="R5" i="1" s="1"/>
  <c r="I3" i="1"/>
  <c r="R4" i="1" s="1"/>
  <c r="F3" i="1"/>
  <c r="G13" i="1" a="1"/>
  <c r="G23" i="1" a="1"/>
  <c r="G17" i="1" a="1"/>
  <c r="G15" i="1" a="1"/>
  <c r="G22" i="1" a="1"/>
  <c r="G12" i="1" a="1"/>
  <c r="G10" i="1" a="1"/>
  <c r="G6" i="1" a="1"/>
  <c r="G16" i="1" a="1"/>
  <c r="G11" i="1" a="1"/>
  <c r="G7" i="1" a="1"/>
  <c r="G18" i="1" a="1"/>
  <c r="G8" i="1" a="1"/>
  <c r="G3" i="1" a="1"/>
  <c r="G19" i="1" a="1"/>
  <c r="G21" i="1" a="1"/>
  <c r="G20" i="1" a="1"/>
  <c r="G14" i="1" a="1"/>
  <c r="G9" i="1" a="1"/>
  <c r="G5" i="1" a="1"/>
  <c r="J13" i="1" l="1"/>
  <c r="P13" i="1"/>
  <c r="J3" i="1"/>
  <c r="T4" i="1" s="1"/>
  <c r="P3" i="1"/>
  <c r="J21" i="1"/>
  <c r="T40" i="1" s="1"/>
  <c r="V40" i="1" s="1"/>
  <c r="P21" i="1"/>
  <c r="J14" i="1"/>
  <c r="T26" i="1" s="1"/>
  <c r="W26" i="1" s="1"/>
  <c r="P14" i="1"/>
  <c r="J5" i="1"/>
  <c r="T8" i="1" s="1"/>
  <c r="P5" i="1"/>
  <c r="J15" i="1"/>
  <c r="P15" i="1"/>
  <c r="J22" i="1"/>
  <c r="T42" i="1" s="1"/>
  <c r="W42" i="1" s="1"/>
  <c r="P22" i="1"/>
  <c r="J10" i="1"/>
  <c r="T18" i="1" s="1"/>
  <c r="P10" i="1"/>
  <c r="J6" i="1"/>
  <c r="P6" i="1"/>
  <c r="J17" i="1"/>
  <c r="T32" i="1" s="1"/>
  <c r="W32" i="1" s="1"/>
  <c r="P17" i="1"/>
  <c r="J8" i="1"/>
  <c r="T14" i="1" s="1"/>
  <c r="P8" i="1"/>
  <c r="J12" i="1"/>
  <c r="T22" i="1" s="1"/>
  <c r="P12" i="1"/>
  <c r="J9" i="1"/>
  <c r="T16" i="1" s="1"/>
  <c r="P9" i="1"/>
  <c r="J20" i="1"/>
  <c r="T38" i="1" s="1"/>
  <c r="V38" i="1" s="1"/>
  <c r="P20" i="1"/>
  <c r="J23" i="1"/>
  <c r="T44" i="1" s="1"/>
  <c r="X44" i="1" s="1"/>
  <c r="P23" i="1"/>
  <c r="J19" i="1"/>
  <c r="T36" i="1" s="1"/>
  <c r="P19" i="1"/>
  <c r="J16" i="1"/>
  <c r="P16" i="1"/>
  <c r="J7" i="1"/>
  <c r="P7" i="1"/>
  <c r="J18" i="1"/>
  <c r="P18" i="1"/>
  <c r="R26" i="1"/>
  <c r="T12" i="1"/>
  <c r="R44" i="1"/>
  <c r="T30" i="1"/>
  <c r="V30" i="1" s="1"/>
  <c r="R8" i="1"/>
  <c r="T34" i="1"/>
  <c r="W34" i="1" s="1"/>
  <c r="T28" i="1"/>
  <c r="X28" i="1" s="1"/>
  <c r="T10" i="1"/>
  <c r="T24" i="1"/>
  <c r="R14" i="1"/>
  <c r="R38" i="1"/>
  <c r="R32" i="1"/>
  <c r="R20" i="1"/>
  <c r="X32" i="1"/>
  <c r="G8" i="1"/>
  <c r="L8" i="1" s="1"/>
  <c r="T15" i="1" s="1"/>
  <c r="G16" i="1"/>
  <c r="L16" i="1" s="1"/>
  <c r="T31" i="1" s="1"/>
  <c r="G6" i="1"/>
  <c r="L6" i="1" s="1"/>
  <c r="T11" i="1" s="1"/>
  <c r="G23" i="1"/>
  <c r="L23" i="1" s="1"/>
  <c r="T45" i="1" s="1"/>
  <c r="G15" i="1"/>
  <c r="L15" i="1" s="1"/>
  <c r="T29" i="1" s="1"/>
  <c r="G13" i="1"/>
  <c r="L13" i="1" s="1"/>
  <c r="T25" i="1" s="1"/>
  <c r="G14" i="1"/>
  <c r="L14" i="1" s="1"/>
  <c r="T27" i="1" s="1"/>
  <c r="G5" i="1"/>
  <c r="L5" i="1" s="1"/>
  <c r="T9" i="1" s="1"/>
  <c r="G21" i="1"/>
  <c r="L21" i="1" s="1"/>
  <c r="T41" i="1" s="1"/>
  <c r="G9" i="1"/>
  <c r="L9" i="1" s="1"/>
  <c r="T17" i="1" s="1"/>
  <c r="G7" i="1"/>
  <c r="L7" i="1" s="1"/>
  <c r="T13" i="1" s="1"/>
  <c r="G12" i="1"/>
  <c r="L12" i="1" s="1"/>
  <c r="T23" i="1" s="1"/>
  <c r="G22" i="1"/>
  <c r="L22" i="1" s="1"/>
  <c r="T43" i="1" s="1"/>
  <c r="G20" i="1"/>
  <c r="L20" i="1" s="1"/>
  <c r="T39" i="1" s="1"/>
  <c r="G19" i="1"/>
  <c r="L19" i="1" s="1"/>
  <c r="T37" i="1" s="1"/>
  <c r="G17" i="1"/>
  <c r="L17" i="1" s="1"/>
  <c r="T33" i="1" s="1"/>
  <c r="G11" i="1"/>
  <c r="L11" i="1" s="1"/>
  <c r="T21" i="1" s="1"/>
  <c r="G18" i="1"/>
  <c r="L18" i="1" s="1"/>
  <c r="T35" i="1" s="1"/>
  <c r="G10" i="1"/>
  <c r="L10" i="1" s="1"/>
  <c r="T19" i="1" s="1"/>
  <c r="G3" i="1"/>
  <c r="L3" i="1" s="1"/>
  <c r="T5" i="1" s="1"/>
  <c r="W38" i="1" l="1"/>
  <c r="X38" i="1"/>
  <c r="V36" i="1"/>
  <c r="X36" i="1"/>
  <c r="W36" i="1"/>
  <c r="V44" i="1"/>
  <c r="V26" i="1"/>
  <c r="X26" i="1"/>
  <c r="X30" i="1"/>
  <c r="W44" i="1"/>
  <c r="V32" i="1"/>
  <c r="X34" i="1"/>
  <c r="V34" i="1"/>
  <c r="X42" i="1"/>
  <c r="V42" i="1"/>
  <c r="W40" i="1"/>
  <c r="W30" i="1"/>
  <c r="V28" i="1"/>
  <c r="W28" i="1"/>
  <c r="X40" i="1"/>
  <c r="X45" i="1"/>
  <c r="W45" i="1"/>
  <c r="V45" i="1"/>
  <c r="V41" i="1"/>
  <c r="X41" i="1"/>
  <c r="W41" i="1"/>
  <c r="X43" i="1"/>
  <c r="W43" i="1"/>
  <c r="V43" i="1"/>
  <c r="X39" i="1"/>
  <c r="W39" i="1"/>
  <c r="V39" i="1"/>
  <c r="X37" i="1"/>
  <c r="W37" i="1"/>
  <c r="V37" i="1"/>
  <c r="X33" i="1"/>
  <c r="V33" i="1"/>
  <c r="W33" i="1"/>
  <c r="X35" i="1"/>
  <c r="W35" i="1"/>
  <c r="V35" i="1"/>
  <c r="W31" i="1"/>
  <c r="X31" i="1"/>
  <c r="V31" i="1"/>
  <c r="V29" i="1"/>
  <c r="W29" i="1"/>
  <c r="X29" i="1"/>
  <c r="X27" i="1"/>
  <c r="W27" i="1"/>
  <c r="V27" i="1"/>
  <c r="W16" i="1" l="1"/>
  <c r="V12" i="1"/>
  <c r="K4" i="1"/>
  <c r="R7" i="1" s="1"/>
  <c r="I4" i="1"/>
  <c r="R6" i="1" s="1"/>
  <c r="F4" i="1"/>
  <c r="G4" i="1" a="1"/>
  <c r="J4" i="1" l="1"/>
  <c r="P4" i="1"/>
  <c r="T6" i="1"/>
  <c r="V6" i="1" s="1"/>
  <c r="V17" i="1"/>
  <c r="X19" i="1"/>
  <c r="X23" i="1"/>
  <c r="X22" i="1"/>
  <c r="W22" i="1"/>
  <c r="V22" i="1"/>
  <c r="X20" i="1"/>
  <c r="W20" i="1"/>
  <c r="V20" i="1"/>
  <c r="X21" i="1"/>
  <c r="W21" i="1"/>
  <c r="V21" i="1"/>
  <c r="X17" i="1"/>
  <c r="W17" i="1"/>
  <c r="V18" i="1"/>
  <c r="X18" i="1"/>
  <c r="W18" i="1"/>
  <c r="X24" i="1"/>
  <c r="W24" i="1"/>
  <c r="V24" i="1"/>
  <c r="W19" i="1"/>
  <c r="V19" i="1"/>
  <c r="X25" i="1"/>
  <c r="W25" i="1"/>
  <c r="V25" i="1"/>
  <c r="X16" i="1"/>
  <c r="V16" i="1"/>
  <c r="X15" i="1"/>
  <c r="X14" i="1"/>
  <c r="W14" i="1"/>
  <c r="V14" i="1"/>
  <c r="X12" i="1"/>
  <c r="W12" i="1"/>
  <c r="X13" i="1"/>
  <c r="W13" i="1"/>
  <c r="V13" i="1"/>
  <c r="X11" i="1"/>
  <c r="X10" i="1"/>
  <c r="W10" i="1"/>
  <c r="V10" i="1"/>
  <c r="W11" i="1"/>
  <c r="X9" i="1"/>
  <c r="X8" i="1"/>
  <c r="W8" i="1"/>
  <c r="V8" i="1"/>
  <c r="G4" i="1"/>
  <c r="W6" i="1" l="1"/>
  <c r="X6" i="1"/>
  <c r="W9" i="1"/>
  <c r="V9" i="1"/>
  <c r="V11" i="1"/>
  <c r="V15" i="1"/>
  <c r="W23" i="1"/>
  <c r="V23" i="1"/>
  <c r="W15" i="1"/>
  <c r="L4" i="1"/>
  <c r="T7" i="1" s="1"/>
  <c r="W7" i="1" l="1"/>
  <c r="X7" i="1"/>
  <c r="V7" i="1"/>
  <c r="F2" i="1"/>
  <c r="K2" i="1"/>
  <c r="R3" i="1" s="1"/>
  <c r="R2" i="1"/>
  <c r="G2" i="1" a="1"/>
  <c r="J2" i="1" l="1"/>
  <c r="P2" i="1"/>
  <c r="X4" i="1"/>
  <c r="V4" i="1"/>
  <c r="W4" i="1"/>
  <c r="V2" i="1"/>
  <c r="W2" i="1"/>
  <c r="X2" i="1"/>
  <c r="G2" i="1"/>
  <c r="L2" i="1" s="1"/>
  <c r="T3" i="1" s="1"/>
  <c r="X3" i="1" l="1"/>
  <c r="V3" i="1"/>
  <c r="W3" i="1"/>
  <c r="X5" i="1"/>
  <c r="W5" i="1"/>
  <c r="V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<sst xmlns="http://schemas.openxmlformats.org/spreadsheetml/2006/main" count="24" uniqueCount="22">
  <si>
    <t>Seq of target site (without PAM)</t>
  </si>
  <si>
    <t>Seq of target site (without PAM) rev-comp</t>
  </si>
  <si>
    <t>TTGAGGGGCCAGGGCCCGATGGG</t>
  </si>
  <si>
    <t>R primer Seq for order</t>
  </si>
  <si>
    <t>Name</t>
  </si>
  <si>
    <t>Adgrl1</t>
  </si>
  <si>
    <t>#</t>
  </si>
  <si>
    <t>Pass: 0000</t>
  </si>
  <si>
    <t>GTTGGTCACTAGTCTCTGAGGGG</t>
  </si>
  <si>
    <t>INSERT target seq (w/ or w/o PAM)</t>
  </si>
  <si>
    <t>For ordering -&gt;</t>
  </si>
  <si>
    <t>Name of F oligo</t>
  </si>
  <si>
    <t>Name of R oligo</t>
  </si>
  <si>
    <t>Seq of F oligo</t>
  </si>
  <si>
    <t>Ex.</t>
  </si>
  <si>
    <t>Oligo Name</t>
  </si>
  <si>
    <t>Sequence</t>
  </si>
  <si>
    <r>
      <t>Scale (</t>
    </r>
    <r>
      <rPr>
        <b/>
        <sz val="10"/>
        <rFont val="Symbol"/>
        <family val="1"/>
        <charset val="2"/>
      </rPr>
      <t>m</t>
    </r>
    <r>
      <rPr>
        <b/>
        <sz val="10"/>
        <rFont val="Arial"/>
        <family val="2"/>
      </rPr>
      <t>mole)</t>
    </r>
  </si>
  <si>
    <t>Purification</t>
  </si>
  <si>
    <t>Format</t>
  </si>
  <si>
    <t>Insert sequence</t>
  </si>
  <si>
    <t>gRNA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</si>
</sst>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3" fillId="5" borderId="1" xfId="1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 wrapText="1"/>
    </xf>
    <xf numFmtId="0" fontId="2" fillId="5" borderId="1" xfId="0" applyFont="1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vertical="center"/>
    </xf>
    <xf numFmtId="0" fontId="0" fillId="3" borderId="1" xfId="0" applyFill="1" applyBorder="1" applyAlignment="1" applyProtection="1">
      <alignment vertical="center"/>
    </xf>
    <xf numFmtId="0" fontId="0" fillId="0" borderId="1" xfId="0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79ADE-5D7E-6949-865D-75100D3736BE}">
  <sheetPr codeName="Sheet1"/>
  <dimension ref="A1:Y47"/>
  <sheetViews>
    <sheetView tabSelected="1" workbookViewId="0">
      <selection activeCell="T9" sqref="T9"/>
    </sheetView>
  </sheetViews>
  <sheetFormatPr baseColWidth="10" defaultColWidth="25.33203125" defaultRowHeight="16" x14ac:dyDescent="0.2"/>
  <cols>
    <col min="1" max="1" width="3.5" style="9" bestFit="1" customWidth="1"/>
    <col min="2" max="2" width="6.5" style="10" bestFit="1" customWidth="1"/>
    <col min="3" max="3" width="2.1640625" style="10" bestFit="1" customWidth="1"/>
    <col min="4" max="4" width="31" style="10" bestFit="1" customWidth="1"/>
    <col min="5" max="5" width="3.33203125" style="9" hidden="1" customWidth="1"/>
    <col min="6" max="6" width="28.33203125" style="8" hidden="1" customWidth="1"/>
    <col min="7" max="7" width="36.6640625" style="8" hidden="1" customWidth="1"/>
    <col min="8" max="8" width="13.33203125" style="8" hidden="1" customWidth="1"/>
    <col min="9" max="9" width="14.33203125" style="8" hidden="1" customWidth="1"/>
    <col min="10" max="10" width="29.6640625" style="8" hidden="1" customWidth="1"/>
    <col min="11" max="11" width="14.5" style="8" hidden="1" customWidth="1"/>
    <col min="12" max="12" width="29.1640625" style="8" hidden="1" customWidth="1"/>
    <col min="13" max="13" width="6" style="8" hidden="1" customWidth="1"/>
    <col min="14" max="14" width="9.83203125" style="8" bestFit="1" customWidth="1"/>
    <col min="15" max="15" width="10.83203125" style="15" customWidth="1"/>
    <col min="16" max="16" width="28.6640625" style="15" bestFit="1" customWidth="1"/>
    <col min="17" max="17" width="3" style="8" customWidth="1"/>
    <col min="18" max="18" width="10.6640625" style="8" bestFit="1" customWidth="1"/>
    <col min="19" max="19" width="0.83203125" style="8" customWidth="1"/>
    <col min="20" max="20" width="29.33203125" style="8" customWidth="1"/>
    <col min="21" max="21" width="0.83203125" style="8" customWidth="1"/>
    <col min="22" max="22" width="12.33203125" style="8" bestFit="1" customWidth="1"/>
    <col min="23" max="23" width="10.5" style="8" bestFit="1" customWidth="1"/>
    <col min="24" max="24" width="6.83203125" style="8" bestFit="1" customWidth="1"/>
    <col min="25" max="25" width="4" style="15" customWidth="1"/>
    <col min="26" max="16384" width="25.33203125" style="8"/>
  </cols>
  <sheetData>
    <row r="1" spans="1:25" x14ac:dyDescent="0.2">
      <c r="A1" s="5"/>
      <c r="B1" s="6" t="s">
        <v>4</v>
      </c>
      <c r="C1" s="6" t="s">
        <v>6</v>
      </c>
      <c r="D1" s="6" t="s">
        <v>9</v>
      </c>
      <c r="E1" s="5"/>
      <c r="F1" s="6" t="s">
        <v>0</v>
      </c>
      <c r="G1" s="6" t="s">
        <v>1</v>
      </c>
      <c r="H1" s="7" t="s">
        <v>10</v>
      </c>
      <c r="I1" s="7" t="s">
        <v>11</v>
      </c>
      <c r="J1" s="7" t="s">
        <v>13</v>
      </c>
      <c r="K1" s="7" t="s">
        <v>12</v>
      </c>
      <c r="L1" s="7" t="s">
        <v>3</v>
      </c>
      <c r="N1" s="8" t="s">
        <v>7</v>
      </c>
      <c r="O1" s="15" t="s">
        <v>21</v>
      </c>
      <c r="P1" s="16" t="s">
        <v>20</v>
      </c>
      <c r="R1" s="2" t="s">
        <v>15</v>
      </c>
      <c r="S1" s="1"/>
      <c r="T1" s="2" t="s">
        <v>16</v>
      </c>
      <c r="U1" s="1"/>
      <c r="V1" s="3" t="s">
        <v>17</v>
      </c>
      <c r="W1" s="3" t="s">
        <v>18</v>
      </c>
      <c r="X1" s="2" t="s">
        <v>19</v>
      </c>
    </row>
    <row r="2" spans="1:25" x14ac:dyDescent="0.2">
      <c r="A2" s="11" t="s">
        <v>14</v>
      </c>
      <c r="B2" s="11" t="s">
        <v>5</v>
      </c>
      <c r="C2" s="11">
        <v>1</v>
      </c>
      <c r="D2" s="11" t="s">
        <v>2</v>
      </c>
      <c r="E2" s="19"/>
      <c r="F2" s="4" t="str">
        <f>UPPER(LEFT(D2,20))</f>
        <v>TTGAGGGGCCAGGGCCCGAT</v>
      </c>
      <c r="G2" s="4" t="str" cm="1">
        <f t="array" ref="G2">revcomp(F2)</f>
        <v>ATCGGGCCCTGGCCCCTCAA</v>
      </c>
      <c r="H2" s="4"/>
      <c r="I2" s="4" t="str">
        <f>IF(B2="","",B2&amp;"_"&amp;C2&amp;"F")</f>
        <v>Adgrl1_1F</v>
      </c>
      <c r="J2" s="4" t="str">
        <f>IF(B2="","","caccg"&amp;F2)</f>
        <v>caccgTTGAGGGGCCAGGGCCCGAT</v>
      </c>
      <c r="K2" s="4" t="str">
        <f>IF(B2="","",B2&amp;"_"&amp;C2&amp;"R")</f>
        <v>Adgrl1_1R</v>
      </c>
      <c r="L2" s="4" t="str">
        <f>IF(B2="","","aaac"&amp;G2&amp;"c")</f>
        <v>aaacATCGGGCCCTGGCCCCTCAAc</v>
      </c>
      <c r="O2" s="20" t="str">
        <f>IF(B2="","",B2&amp;"_"&amp;C2)</f>
        <v>Adgrl1_1</v>
      </c>
      <c r="P2" s="20" t="str">
        <f>IF(F2="","",F2)</f>
        <v>TTGAGGGGCCAGGGCCCGAT</v>
      </c>
      <c r="R2" s="4" t="str">
        <f>IF(I2="","",I2)</f>
        <v>Adgrl1_1F</v>
      </c>
      <c r="S2" s="4"/>
      <c r="T2" s="4" t="str">
        <f>IF(J2="","",J2)</f>
        <v>caccgTTGAGGGGCCAGGGCCCGAT</v>
      </c>
      <c r="U2" s="4"/>
      <c r="V2" s="4" t="str">
        <f t="shared" ref="V2:V7" si="0">IF(T2="","","0.025")</f>
        <v>0.025</v>
      </c>
      <c r="W2" s="4" t="str">
        <f t="shared" ref="W2:W7" si="1">IF(T2="","","Desalt")</f>
        <v>Desalt</v>
      </c>
      <c r="X2" s="4" t="str">
        <f t="shared" ref="X2:X7" si="2">IF(T2="","","Dry")</f>
        <v>Dry</v>
      </c>
    </row>
    <row r="3" spans="1:25" x14ac:dyDescent="0.2">
      <c r="A3" s="11" t="s">
        <v>14</v>
      </c>
      <c r="B3" s="11" t="s">
        <v>5</v>
      </c>
      <c r="C3" s="11">
        <v>2</v>
      </c>
      <c r="D3" s="11" t="s">
        <v>8</v>
      </c>
      <c r="E3" s="19"/>
      <c r="F3" s="4" t="str">
        <f>UPPER(LEFT(D3,20))</f>
        <v>GTTGGTCACTAGTCTCTGAG</v>
      </c>
      <c r="G3" s="4" t="str" cm="1">
        <f t="array" ref="G3">revcomp(F3)</f>
        <v>CTCAGAGACTAGTGACCAAC</v>
      </c>
      <c r="H3" s="4"/>
      <c r="I3" s="4" t="str">
        <f>IF(B3="","",B3&amp;"_"&amp;C3&amp;"F")</f>
        <v>Adgrl1_2F</v>
      </c>
      <c r="J3" s="4" t="str">
        <f>IF(B3="","","caccg"&amp;F3)</f>
        <v>caccgGTTGGTCACTAGTCTCTGAG</v>
      </c>
      <c r="K3" s="4" t="str">
        <f>IF(B3="","",B3&amp;"_"&amp;C3&amp;"R")</f>
        <v>Adgrl1_2R</v>
      </c>
      <c r="L3" s="4" t="str">
        <f>IF(B3="","","aaac"&amp;G3&amp;"c")</f>
        <v>aaacCTCAGAGACTAGTGACCAACc</v>
      </c>
      <c r="O3" s="20" t="str">
        <f t="shared" ref="O3:O23" si="3">IF(B3="","",B3&amp;"_"&amp;C3)</f>
        <v>Adgrl1_2</v>
      </c>
      <c r="P3" s="20" t="str">
        <f t="shared" ref="P3:P23" si="4">IF(F3="","",F3)</f>
        <v>GTTGGTCACTAGTCTCTGAG</v>
      </c>
      <c r="R3" s="4" t="str">
        <f>IF(K2="","",K2)</f>
        <v>Adgrl1_1R</v>
      </c>
      <c r="S3" s="4"/>
      <c r="T3" s="4" t="str">
        <f>IF(L2="","",L2)</f>
        <v>aaacATCGGGCCCTGGCCCCTCAAc</v>
      </c>
      <c r="U3" s="4"/>
      <c r="V3" s="4" t="str">
        <f t="shared" si="0"/>
        <v>0.025</v>
      </c>
      <c r="W3" s="4" t="str">
        <f t="shared" si="1"/>
        <v>Desalt</v>
      </c>
      <c r="X3" s="4" t="str">
        <f t="shared" si="2"/>
        <v>Dry</v>
      </c>
    </row>
    <row r="4" spans="1:25" x14ac:dyDescent="0.2">
      <c r="A4" s="12">
        <v>1</v>
      </c>
      <c r="B4" s="13"/>
      <c r="C4" s="13"/>
      <c r="D4" s="13"/>
      <c r="E4" s="18"/>
      <c r="F4" s="5" t="str">
        <f>UPPER(LEFT(D4,20))</f>
        <v/>
      </c>
      <c r="G4" s="5" t="str" cm="1">
        <f t="array" ref="G4">revcomp(F4)</f>
        <v/>
      </c>
      <c r="H4" s="5"/>
      <c r="I4" s="5" t="str">
        <f>IF(B4="","",B4&amp;"_"&amp;C4&amp;"F")</f>
        <v/>
      </c>
      <c r="J4" s="5" t="str">
        <f>IF(D4="","","caccg"&amp;F4)</f>
        <v/>
      </c>
      <c r="K4" s="5" t="str">
        <f>IF(B4="","",B4&amp;"_"&amp;C4&amp;"R")</f>
        <v/>
      </c>
      <c r="L4" s="5" t="str">
        <f>IF(D4="","","aaac"&amp;G4&amp;"c")</f>
        <v/>
      </c>
      <c r="O4" s="17" t="str">
        <f t="shared" si="3"/>
        <v/>
      </c>
      <c r="P4" s="17" t="str">
        <f t="shared" si="4"/>
        <v/>
      </c>
      <c r="R4" s="4" t="str">
        <f>IF(I3="","",I3)</f>
        <v>Adgrl1_2F</v>
      </c>
      <c r="S4" s="4"/>
      <c r="T4" s="4" t="str">
        <f>IF(J3="","",J3)</f>
        <v>caccgGTTGGTCACTAGTCTCTGAG</v>
      </c>
      <c r="U4" s="4"/>
      <c r="V4" s="4" t="str">
        <f t="shared" si="0"/>
        <v>0.025</v>
      </c>
      <c r="W4" s="4" t="str">
        <f t="shared" si="1"/>
        <v>Desalt</v>
      </c>
      <c r="X4" s="4" t="str">
        <f t="shared" si="2"/>
        <v>Dry</v>
      </c>
    </row>
    <row r="5" spans="1:25" x14ac:dyDescent="0.2">
      <c r="A5" s="12">
        <v>2</v>
      </c>
      <c r="B5" s="13"/>
      <c r="C5" s="13"/>
      <c r="D5" s="13"/>
      <c r="E5" s="18"/>
      <c r="F5" s="5" t="str">
        <f t="shared" ref="F5:F23" si="5">UPPER(LEFT(D5,20))</f>
        <v/>
      </c>
      <c r="G5" s="5" t="str" cm="1">
        <f t="array" ref="G5">revcomp(F5)</f>
        <v/>
      </c>
      <c r="H5" s="5"/>
      <c r="I5" s="5" t="str">
        <f t="shared" ref="I5:I23" si="6">IF(B5="","",B5&amp;"_"&amp;C5&amp;"F")</f>
        <v/>
      </c>
      <c r="J5" s="5" t="str">
        <f t="shared" ref="J5:J23" si="7">IF(D5="","","caccg"&amp;F5)</f>
        <v/>
      </c>
      <c r="K5" s="5" t="str">
        <f t="shared" ref="K5:K23" si="8">IF(B5="","",B5&amp;"_"&amp;C5&amp;"R")</f>
        <v/>
      </c>
      <c r="L5" s="5" t="str">
        <f t="shared" ref="L5:L23" si="9">IF(D5="","","aaac"&amp;G5&amp;"c")</f>
        <v/>
      </c>
      <c r="O5" s="17" t="str">
        <f t="shared" si="3"/>
        <v/>
      </c>
      <c r="P5" s="17" t="str">
        <f t="shared" si="4"/>
        <v/>
      </c>
      <c r="R5" s="4" t="str">
        <f>IF(K3="","",K3)</f>
        <v>Adgrl1_2R</v>
      </c>
      <c r="S5" s="4"/>
      <c r="T5" s="4" t="str">
        <f>IF(L3="","",L3)</f>
        <v>aaacCTCAGAGACTAGTGACCAACc</v>
      </c>
      <c r="U5" s="4"/>
      <c r="V5" s="4" t="str">
        <f t="shared" si="0"/>
        <v>0.025</v>
      </c>
      <c r="W5" s="4" t="str">
        <f t="shared" si="1"/>
        <v>Desalt</v>
      </c>
      <c r="X5" s="4" t="str">
        <f t="shared" si="2"/>
        <v>Dry</v>
      </c>
    </row>
    <row r="6" spans="1:25" s="9" customFormat="1" x14ac:dyDescent="0.2">
      <c r="A6" s="12">
        <v>3</v>
      </c>
      <c r="B6" s="13"/>
      <c r="C6" s="13"/>
      <c r="D6" s="13"/>
      <c r="E6" s="18"/>
      <c r="F6" s="5" t="str">
        <f t="shared" si="5"/>
        <v/>
      </c>
      <c r="G6" s="5" t="str" cm="1">
        <f t="array" ref="G6">revcomp(F6)</f>
        <v/>
      </c>
      <c r="H6" s="5"/>
      <c r="I6" s="5" t="str">
        <f t="shared" si="6"/>
        <v/>
      </c>
      <c r="J6" s="5" t="str">
        <f t="shared" si="7"/>
        <v/>
      </c>
      <c r="K6" s="5" t="str">
        <f t="shared" si="8"/>
        <v/>
      </c>
      <c r="L6" s="5" t="str">
        <f t="shared" si="9"/>
        <v/>
      </c>
      <c r="O6" s="17" t="str">
        <f t="shared" si="3"/>
        <v/>
      </c>
      <c r="P6" s="17" t="str">
        <f t="shared" si="4"/>
        <v/>
      </c>
      <c r="R6" s="5" t="str">
        <f>IF(I4="","",I4)</f>
        <v/>
      </c>
      <c r="S6" s="5"/>
      <c r="T6" s="5" t="str">
        <f>IF(J4="","",J4)</f>
        <v/>
      </c>
      <c r="U6" s="5"/>
      <c r="V6" s="5" t="str">
        <f>IF(T6="","","0.025")</f>
        <v/>
      </c>
      <c r="W6" s="5" t="str">
        <f t="shared" si="1"/>
        <v/>
      </c>
      <c r="X6" s="5" t="str">
        <f t="shared" si="2"/>
        <v/>
      </c>
      <c r="Y6" s="15"/>
    </row>
    <row r="7" spans="1:25" s="9" customFormat="1" x14ac:dyDescent="0.2">
      <c r="A7" s="12">
        <v>4</v>
      </c>
      <c r="B7" s="13"/>
      <c r="C7" s="13"/>
      <c r="D7" s="13"/>
      <c r="E7" s="18"/>
      <c r="F7" s="5" t="str">
        <f t="shared" si="5"/>
        <v/>
      </c>
      <c r="G7" s="5" t="str" cm="1">
        <f t="array" ref="G7">revcomp(F7)</f>
        <v/>
      </c>
      <c r="H7" s="5"/>
      <c r="I7" s="5" t="str">
        <f t="shared" si="6"/>
        <v/>
      </c>
      <c r="J7" s="5" t="str">
        <f t="shared" si="7"/>
        <v/>
      </c>
      <c r="K7" s="5" t="str">
        <f t="shared" si="8"/>
        <v/>
      </c>
      <c r="L7" s="5" t="str">
        <f t="shared" si="9"/>
        <v/>
      </c>
      <c r="O7" s="17" t="str">
        <f t="shared" si="3"/>
        <v/>
      </c>
      <c r="P7" s="17" t="str">
        <f t="shared" si="4"/>
        <v/>
      </c>
      <c r="R7" s="5" t="str">
        <f>IF(K4="","",K4)</f>
        <v/>
      </c>
      <c r="S7" s="5"/>
      <c r="T7" s="5" t="str">
        <f>IF(L4="","",L4)</f>
        <v/>
      </c>
      <c r="U7" s="5"/>
      <c r="V7" s="5" t="str">
        <f t="shared" si="0"/>
        <v/>
      </c>
      <c r="W7" s="5" t="str">
        <f t="shared" si="1"/>
        <v/>
      </c>
      <c r="X7" s="5" t="str">
        <f t="shared" si="2"/>
        <v/>
      </c>
      <c r="Y7" s="15"/>
    </row>
    <row r="8" spans="1:25" s="9" customFormat="1" x14ac:dyDescent="0.2">
      <c r="A8" s="12">
        <v>5</v>
      </c>
      <c r="B8" s="13"/>
      <c r="C8" s="13"/>
      <c r="D8" s="13"/>
      <c r="E8" s="18"/>
      <c r="F8" s="5" t="str">
        <f t="shared" si="5"/>
        <v/>
      </c>
      <c r="G8" s="5" t="str" cm="1">
        <f t="array" ref="G8">revcomp(F8)</f>
        <v/>
      </c>
      <c r="H8" s="5"/>
      <c r="I8" s="5" t="str">
        <f t="shared" si="6"/>
        <v/>
      </c>
      <c r="J8" s="5" t="str">
        <f t="shared" si="7"/>
        <v/>
      </c>
      <c r="K8" s="5" t="str">
        <f t="shared" si="8"/>
        <v/>
      </c>
      <c r="L8" s="5" t="str">
        <f t="shared" si="9"/>
        <v/>
      </c>
      <c r="O8" s="17" t="str">
        <f t="shared" si="3"/>
        <v/>
      </c>
      <c r="P8" s="17" t="str">
        <f t="shared" si="4"/>
        <v/>
      </c>
      <c r="R8" s="5" t="str">
        <f>IF(I5="","",I5)</f>
        <v/>
      </c>
      <c r="S8" s="5"/>
      <c r="T8" s="5" t="str">
        <f>IF(J5="","",J5)</f>
        <v/>
      </c>
      <c r="U8" s="5"/>
      <c r="V8" s="5" t="str">
        <f t="shared" ref="V8:V17" si="10">IF(T8="","","0.025")</f>
        <v/>
      </c>
      <c r="W8" s="5" t="str">
        <f t="shared" ref="W8:W17" si="11">IF(T8="","","Desalt")</f>
        <v/>
      </c>
      <c r="X8" s="5" t="str">
        <f t="shared" ref="X8:X17" si="12">IF(T8="","","Dry")</f>
        <v/>
      </c>
      <c r="Y8" s="15"/>
    </row>
    <row r="9" spans="1:25" s="9" customFormat="1" x14ac:dyDescent="0.2">
      <c r="A9" s="12">
        <v>6</v>
      </c>
      <c r="B9" s="13"/>
      <c r="C9" s="13"/>
      <c r="D9" s="13"/>
      <c r="E9" s="18"/>
      <c r="F9" s="5" t="str">
        <f t="shared" si="5"/>
        <v/>
      </c>
      <c r="G9" s="5" t="str" cm="1">
        <f t="array" ref="G9">revcomp(F9)</f>
        <v/>
      </c>
      <c r="H9" s="5"/>
      <c r="I9" s="5" t="str">
        <f t="shared" si="6"/>
        <v/>
      </c>
      <c r="J9" s="5" t="str">
        <f t="shared" si="7"/>
        <v/>
      </c>
      <c r="K9" s="5" t="str">
        <f t="shared" si="8"/>
        <v/>
      </c>
      <c r="L9" s="5" t="str">
        <f t="shared" si="9"/>
        <v/>
      </c>
      <c r="O9" s="17" t="str">
        <f t="shared" si="3"/>
        <v/>
      </c>
      <c r="P9" s="17" t="str">
        <f t="shared" si="4"/>
        <v/>
      </c>
      <c r="R9" s="5" t="str">
        <f>IF(K5="","",K5)</f>
        <v/>
      </c>
      <c r="S9" s="5"/>
      <c r="T9" s="5" t="str">
        <f>IF(L5="","",L5)</f>
        <v/>
      </c>
      <c r="U9" s="5"/>
      <c r="V9" s="5" t="str">
        <f t="shared" si="10"/>
        <v/>
      </c>
      <c r="W9" s="5" t="str">
        <f t="shared" si="11"/>
        <v/>
      </c>
      <c r="X9" s="5" t="str">
        <f t="shared" si="12"/>
        <v/>
      </c>
      <c r="Y9" s="15"/>
    </row>
    <row r="10" spans="1:25" s="9" customFormat="1" x14ac:dyDescent="0.2">
      <c r="A10" s="12">
        <v>7</v>
      </c>
      <c r="B10" s="13"/>
      <c r="C10" s="13"/>
      <c r="D10" s="13"/>
      <c r="E10" s="18"/>
      <c r="F10" s="5" t="str">
        <f t="shared" si="5"/>
        <v/>
      </c>
      <c r="G10" s="5" t="str" cm="1">
        <f t="array" ref="G10">revcomp(F10)</f>
        <v/>
      </c>
      <c r="H10" s="5"/>
      <c r="I10" s="5" t="str">
        <f t="shared" si="6"/>
        <v/>
      </c>
      <c r="J10" s="5" t="str">
        <f t="shared" si="7"/>
        <v/>
      </c>
      <c r="K10" s="5" t="str">
        <f t="shared" si="8"/>
        <v/>
      </c>
      <c r="L10" s="5" t="str">
        <f t="shared" si="9"/>
        <v/>
      </c>
      <c r="O10" s="17" t="str">
        <f t="shared" si="3"/>
        <v/>
      </c>
      <c r="P10" s="17" t="str">
        <f t="shared" si="4"/>
        <v/>
      </c>
      <c r="R10" s="5" t="str">
        <f>IF(I6="","",I6)</f>
        <v/>
      </c>
      <c r="S10" s="5"/>
      <c r="T10" s="5" t="str">
        <f>IF(J6="","",J6)</f>
        <v/>
      </c>
      <c r="U10" s="5"/>
      <c r="V10" s="5" t="str">
        <f t="shared" si="10"/>
        <v/>
      </c>
      <c r="W10" s="5" t="str">
        <f t="shared" si="11"/>
        <v/>
      </c>
      <c r="X10" s="5" t="str">
        <f t="shared" si="12"/>
        <v/>
      </c>
      <c r="Y10" s="15"/>
    </row>
    <row r="11" spans="1:25" s="9" customFormat="1" x14ac:dyDescent="0.2">
      <c r="A11" s="12">
        <v>8</v>
      </c>
      <c r="B11" s="13"/>
      <c r="C11" s="13"/>
      <c r="D11" s="13"/>
      <c r="E11" s="18"/>
      <c r="F11" s="5" t="str">
        <f t="shared" si="5"/>
        <v/>
      </c>
      <c r="G11" s="5" t="str" cm="1">
        <f t="array" ref="G11">revcomp(F11)</f>
        <v/>
      </c>
      <c r="H11" s="5"/>
      <c r="I11" s="5" t="str">
        <f t="shared" si="6"/>
        <v/>
      </c>
      <c r="J11" s="5" t="str">
        <f t="shared" si="7"/>
        <v/>
      </c>
      <c r="K11" s="5" t="str">
        <f t="shared" si="8"/>
        <v/>
      </c>
      <c r="L11" s="5" t="str">
        <f t="shared" si="9"/>
        <v/>
      </c>
      <c r="O11" s="17" t="str">
        <f t="shared" si="3"/>
        <v/>
      </c>
      <c r="P11" s="17" t="str">
        <f t="shared" si="4"/>
        <v/>
      </c>
      <c r="R11" s="5" t="str">
        <f>IF(K6="","",K6)</f>
        <v/>
      </c>
      <c r="S11" s="5"/>
      <c r="T11" s="5" t="str">
        <f>IF(L6="","",L6)</f>
        <v/>
      </c>
      <c r="U11" s="5"/>
      <c r="V11" s="5" t="str">
        <f t="shared" si="10"/>
        <v/>
      </c>
      <c r="W11" s="5" t="str">
        <f t="shared" si="11"/>
        <v/>
      </c>
      <c r="X11" s="5" t="str">
        <f t="shared" si="12"/>
        <v/>
      </c>
      <c r="Y11" s="15"/>
    </row>
    <row r="12" spans="1:25" s="9" customFormat="1" x14ac:dyDescent="0.2">
      <c r="A12" s="12">
        <v>9</v>
      </c>
      <c r="B12" s="13"/>
      <c r="C12" s="13"/>
      <c r="D12" s="13"/>
      <c r="E12" s="18"/>
      <c r="F12" s="5" t="str">
        <f t="shared" si="5"/>
        <v/>
      </c>
      <c r="G12" s="5" t="str" cm="1">
        <f t="array" ref="G12">revcomp(F12)</f>
        <v/>
      </c>
      <c r="H12" s="5"/>
      <c r="I12" s="5" t="str">
        <f t="shared" si="6"/>
        <v/>
      </c>
      <c r="J12" s="5" t="str">
        <f t="shared" si="7"/>
        <v/>
      </c>
      <c r="K12" s="5" t="str">
        <f t="shared" si="8"/>
        <v/>
      </c>
      <c r="L12" s="5" t="str">
        <f t="shared" si="9"/>
        <v/>
      </c>
      <c r="O12" s="17" t="str">
        <f t="shared" si="3"/>
        <v/>
      </c>
      <c r="P12" s="17" t="str">
        <f t="shared" si="4"/>
        <v/>
      </c>
      <c r="R12" s="5" t="str">
        <f>IF(I7="","",I7)</f>
        <v/>
      </c>
      <c r="S12" s="5"/>
      <c r="T12" s="5" t="str">
        <f>IF(J7="","",J7)</f>
        <v/>
      </c>
      <c r="U12" s="5"/>
      <c r="V12" s="5" t="str">
        <f>IF(T12="","","0.025")</f>
        <v/>
      </c>
      <c r="W12" s="5" t="str">
        <f t="shared" si="11"/>
        <v/>
      </c>
      <c r="X12" s="5" t="str">
        <f t="shared" si="12"/>
        <v/>
      </c>
      <c r="Y12" s="15"/>
    </row>
    <row r="13" spans="1:25" s="9" customFormat="1" x14ac:dyDescent="0.2">
      <c r="A13" s="12">
        <v>10</v>
      </c>
      <c r="B13" s="13"/>
      <c r="C13" s="13"/>
      <c r="D13" s="13"/>
      <c r="E13" s="18"/>
      <c r="F13" s="5" t="str">
        <f t="shared" si="5"/>
        <v/>
      </c>
      <c r="G13" s="5" t="str" cm="1">
        <f t="array" ref="G13">revcomp(F13)</f>
        <v/>
      </c>
      <c r="H13" s="5"/>
      <c r="I13" s="5" t="str">
        <f t="shared" si="6"/>
        <v/>
      </c>
      <c r="J13" s="5" t="str">
        <f t="shared" si="7"/>
        <v/>
      </c>
      <c r="K13" s="5" t="str">
        <f t="shared" si="8"/>
        <v/>
      </c>
      <c r="L13" s="5" t="str">
        <f t="shared" si="9"/>
        <v/>
      </c>
      <c r="O13" s="17" t="str">
        <f t="shared" si="3"/>
        <v/>
      </c>
      <c r="P13" s="17" t="str">
        <f t="shared" si="4"/>
        <v/>
      </c>
      <c r="R13" s="5" t="str">
        <f>IF(K7="","",K7)</f>
        <v/>
      </c>
      <c r="S13" s="5"/>
      <c r="T13" s="5" t="str">
        <f>IF(L7="","",L7)</f>
        <v/>
      </c>
      <c r="U13" s="5"/>
      <c r="V13" s="5" t="str">
        <f t="shared" si="10"/>
        <v/>
      </c>
      <c r="W13" s="5" t="str">
        <f t="shared" si="11"/>
        <v/>
      </c>
      <c r="X13" s="5" t="str">
        <f t="shared" si="12"/>
        <v/>
      </c>
      <c r="Y13" s="15"/>
    </row>
    <row r="14" spans="1:25" s="9" customFormat="1" x14ac:dyDescent="0.2">
      <c r="A14" s="12">
        <v>11</v>
      </c>
      <c r="B14" s="13"/>
      <c r="C14" s="13"/>
      <c r="D14" s="13"/>
      <c r="E14" s="18"/>
      <c r="F14" s="5" t="str">
        <f t="shared" si="5"/>
        <v/>
      </c>
      <c r="G14" s="5" t="str" cm="1">
        <f t="array" ref="G14">revcomp(F14)</f>
        <v/>
      </c>
      <c r="H14" s="5"/>
      <c r="I14" s="5" t="str">
        <f t="shared" si="6"/>
        <v/>
      </c>
      <c r="J14" s="5" t="str">
        <f t="shared" si="7"/>
        <v/>
      </c>
      <c r="K14" s="5" t="str">
        <f t="shared" si="8"/>
        <v/>
      </c>
      <c r="L14" s="5" t="str">
        <f t="shared" si="9"/>
        <v/>
      </c>
      <c r="O14" s="17" t="str">
        <f t="shared" si="3"/>
        <v/>
      </c>
      <c r="P14" s="17" t="str">
        <f t="shared" si="4"/>
        <v/>
      </c>
      <c r="R14" s="5" t="str">
        <f>IF(I8="","",I8)</f>
        <v/>
      </c>
      <c r="S14" s="5"/>
      <c r="T14" s="5" t="str">
        <f>IF(J8="","",J8)</f>
        <v/>
      </c>
      <c r="U14" s="5"/>
      <c r="V14" s="5" t="str">
        <f t="shared" si="10"/>
        <v/>
      </c>
      <c r="W14" s="5" t="str">
        <f t="shared" si="11"/>
        <v/>
      </c>
      <c r="X14" s="5" t="str">
        <f t="shared" si="12"/>
        <v/>
      </c>
      <c r="Y14" s="15"/>
    </row>
    <row r="15" spans="1:25" s="9" customFormat="1" x14ac:dyDescent="0.2">
      <c r="A15" s="12">
        <v>12</v>
      </c>
      <c r="B15" s="13"/>
      <c r="C15" s="13"/>
      <c r="D15" s="13"/>
      <c r="E15" s="18"/>
      <c r="F15" s="5" t="str">
        <f t="shared" si="5"/>
        <v/>
      </c>
      <c r="G15" s="5" t="str" cm="1">
        <f t="array" ref="G15">revcomp(F15)</f>
        <v/>
      </c>
      <c r="H15" s="5"/>
      <c r="I15" s="5" t="str">
        <f t="shared" si="6"/>
        <v/>
      </c>
      <c r="J15" s="5" t="str">
        <f t="shared" si="7"/>
        <v/>
      </c>
      <c r="K15" s="5" t="str">
        <f t="shared" si="8"/>
        <v/>
      </c>
      <c r="L15" s="5" t="str">
        <f t="shared" si="9"/>
        <v/>
      </c>
      <c r="O15" s="17" t="str">
        <f t="shared" si="3"/>
        <v/>
      </c>
      <c r="P15" s="17" t="str">
        <f t="shared" si="4"/>
        <v/>
      </c>
      <c r="R15" s="5" t="str">
        <f>IF(K8="","",K8)</f>
        <v/>
      </c>
      <c r="S15" s="5"/>
      <c r="T15" s="5" t="str">
        <f>IF(L8="","",L8)</f>
        <v/>
      </c>
      <c r="U15" s="5"/>
      <c r="V15" s="5" t="str">
        <f t="shared" si="10"/>
        <v/>
      </c>
      <c r="W15" s="5" t="str">
        <f t="shared" si="11"/>
        <v/>
      </c>
      <c r="X15" s="5" t="str">
        <f t="shared" si="12"/>
        <v/>
      </c>
      <c r="Y15" s="15"/>
    </row>
    <row r="16" spans="1:25" s="9" customFormat="1" x14ac:dyDescent="0.2">
      <c r="A16" s="12">
        <v>13</v>
      </c>
      <c r="B16" s="13"/>
      <c r="C16" s="13"/>
      <c r="D16" s="13"/>
      <c r="E16" s="18"/>
      <c r="F16" s="5" t="str">
        <f t="shared" si="5"/>
        <v/>
      </c>
      <c r="G16" s="5" t="str" cm="1">
        <f t="array" ref="G16">revcomp(F16)</f>
        <v/>
      </c>
      <c r="H16" s="5"/>
      <c r="I16" s="5" t="str">
        <f t="shared" si="6"/>
        <v/>
      </c>
      <c r="J16" s="5" t="str">
        <f t="shared" si="7"/>
        <v/>
      </c>
      <c r="K16" s="5" t="str">
        <f t="shared" si="8"/>
        <v/>
      </c>
      <c r="L16" s="5" t="str">
        <f t="shared" si="9"/>
        <v/>
      </c>
      <c r="O16" s="17" t="str">
        <f t="shared" si="3"/>
        <v/>
      </c>
      <c r="P16" s="17" t="str">
        <f t="shared" si="4"/>
        <v/>
      </c>
      <c r="R16" s="5" t="str">
        <f>IF(I9="","",I9)</f>
        <v/>
      </c>
      <c r="S16" s="5"/>
      <c r="T16" s="5" t="str">
        <f>IF(J9="","",J9)</f>
        <v/>
      </c>
      <c r="U16" s="5"/>
      <c r="V16" s="5" t="str">
        <f t="shared" si="10"/>
        <v/>
      </c>
      <c r="W16" s="5" t="str">
        <f t="shared" si="11"/>
        <v/>
      </c>
      <c r="X16" s="5" t="str">
        <f t="shared" si="12"/>
        <v/>
      </c>
      <c r="Y16" s="15"/>
    </row>
    <row r="17" spans="1:25" s="9" customFormat="1" x14ac:dyDescent="0.2">
      <c r="A17" s="12">
        <v>14</v>
      </c>
      <c r="B17" s="13"/>
      <c r="C17" s="13"/>
      <c r="D17" s="13"/>
      <c r="E17" s="18"/>
      <c r="F17" s="5" t="str">
        <f t="shared" si="5"/>
        <v/>
      </c>
      <c r="G17" s="5" t="str" cm="1">
        <f t="array" ref="G17">revcomp(F17)</f>
        <v/>
      </c>
      <c r="H17" s="5"/>
      <c r="I17" s="5" t="str">
        <f t="shared" si="6"/>
        <v/>
      </c>
      <c r="J17" s="5" t="str">
        <f t="shared" si="7"/>
        <v/>
      </c>
      <c r="K17" s="5" t="str">
        <f t="shared" si="8"/>
        <v/>
      </c>
      <c r="L17" s="5" t="str">
        <f t="shared" si="9"/>
        <v/>
      </c>
      <c r="O17" s="17" t="str">
        <f t="shared" si="3"/>
        <v/>
      </c>
      <c r="P17" s="17" t="str">
        <f t="shared" si="4"/>
        <v/>
      </c>
      <c r="R17" s="5" t="str">
        <f>IF(K9="","",K9)</f>
        <v/>
      </c>
      <c r="S17" s="5"/>
      <c r="T17" s="5" t="str">
        <f>IF(L9="","",L9)</f>
        <v/>
      </c>
      <c r="U17" s="5"/>
      <c r="V17" s="5" t="str">
        <f t="shared" si="10"/>
        <v/>
      </c>
      <c r="W17" s="5" t="str">
        <f t="shared" si="11"/>
        <v/>
      </c>
      <c r="X17" s="5" t="str">
        <f t="shared" si="12"/>
        <v/>
      </c>
      <c r="Y17" s="15"/>
    </row>
    <row r="18" spans="1:25" s="9" customFormat="1" x14ac:dyDescent="0.2">
      <c r="A18" s="12">
        <v>15</v>
      </c>
      <c r="B18" s="13"/>
      <c r="C18" s="13"/>
      <c r="D18" s="13"/>
      <c r="E18" s="18"/>
      <c r="F18" s="5" t="str">
        <f t="shared" si="5"/>
        <v/>
      </c>
      <c r="G18" s="5" t="str" cm="1">
        <f t="array" ref="G18">revcomp(F18)</f>
        <v/>
      </c>
      <c r="H18" s="5"/>
      <c r="I18" s="5" t="str">
        <f t="shared" si="6"/>
        <v/>
      </c>
      <c r="J18" s="5" t="str">
        <f t="shared" si="7"/>
        <v/>
      </c>
      <c r="K18" s="5" t="str">
        <f t="shared" si="8"/>
        <v/>
      </c>
      <c r="L18" s="5" t="str">
        <f t="shared" si="9"/>
        <v/>
      </c>
      <c r="O18" s="17" t="str">
        <f t="shared" si="3"/>
        <v/>
      </c>
      <c r="P18" s="17" t="str">
        <f t="shared" si="4"/>
        <v/>
      </c>
      <c r="R18" s="5" t="str">
        <f>IF(I10="","",I10)</f>
        <v/>
      </c>
      <c r="S18" s="5"/>
      <c r="T18" s="5" t="str">
        <f>IF(J10="","",J10)</f>
        <v/>
      </c>
      <c r="U18" s="5"/>
      <c r="V18" s="5" t="str">
        <f t="shared" ref="V18:V25" si="13">IF(T18="","","0.025")</f>
        <v/>
      </c>
      <c r="W18" s="5" t="str">
        <f t="shared" ref="W18:W25" si="14">IF(T18="","","Desalt")</f>
        <v/>
      </c>
      <c r="X18" s="5" t="str">
        <f t="shared" ref="X18:X25" si="15">IF(T18="","","Dry")</f>
        <v/>
      </c>
      <c r="Y18" s="15"/>
    </row>
    <row r="19" spans="1:25" s="9" customFormat="1" x14ac:dyDescent="0.2">
      <c r="A19" s="12">
        <v>16</v>
      </c>
      <c r="B19" s="13"/>
      <c r="C19" s="13"/>
      <c r="D19" s="13"/>
      <c r="E19" s="18"/>
      <c r="F19" s="5" t="str">
        <f t="shared" si="5"/>
        <v/>
      </c>
      <c r="G19" s="5" t="str" cm="1">
        <f t="array" ref="G19">revcomp(F19)</f>
        <v/>
      </c>
      <c r="H19" s="5"/>
      <c r="I19" s="5" t="str">
        <f t="shared" si="6"/>
        <v/>
      </c>
      <c r="J19" s="5" t="str">
        <f t="shared" si="7"/>
        <v/>
      </c>
      <c r="K19" s="5" t="str">
        <f t="shared" si="8"/>
        <v/>
      </c>
      <c r="L19" s="5" t="str">
        <f t="shared" si="9"/>
        <v/>
      </c>
      <c r="O19" s="17" t="str">
        <f t="shared" si="3"/>
        <v/>
      </c>
      <c r="P19" s="17" t="str">
        <f t="shared" si="4"/>
        <v/>
      </c>
      <c r="R19" s="5" t="str">
        <f>IF(K10="","",K10)</f>
        <v/>
      </c>
      <c r="S19" s="5"/>
      <c r="T19" s="5" t="str">
        <f>IF(L10="","",L10)</f>
        <v/>
      </c>
      <c r="U19" s="5"/>
      <c r="V19" s="5" t="str">
        <f t="shared" si="13"/>
        <v/>
      </c>
      <c r="W19" s="5" t="str">
        <f t="shared" si="14"/>
        <v/>
      </c>
      <c r="X19" s="5" t="str">
        <f t="shared" si="15"/>
        <v/>
      </c>
      <c r="Y19" s="15"/>
    </row>
    <row r="20" spans="1:25" s="9" customFormat="1" x14ac:dyDescent="0.2">
      <c r="A20" s="12">
        <v>17</v>
      </c>
      <c r="B20" s="13"/>
      <c r="C20" s="13"/>
      <c r="D20" s="13"/>
      <c r="E20" s="18"/>
      <c r="F20" s="5" t="str">
        <f t="shared" si="5"/>
        <v/>
      </c>
      <c r="G20" s="5" t="str" cm="1">
        <f t="array" ref="G20">revcomp(F20)</f>
        <v/>
      </c>
      <c r="H20" s="5"/>
      <c r="I20" s="5" t="str">
        <f t="shared" si="6"/>
        <v/>
      </c>
      <c r="J20" s="5" t="str">
        <f t="shared" si="7"/>
        <v/>
      </c>
      <c r="K20" s="5" t="str">
        <f t="shared" si="8"/>
        <v/>
      </c>
      <c r="L20" s="5" t="str">
        <f t="shared" si="9"/>
        <v/>
      </c>
      <c r="O20" s="17" t="str">
        <f t="shared" si="3"/>
        <v/>
      </c>
      <c r="P20" s="17" t="str">
        <f t="shared" si="4"/>
        <v/>
      </c>
      <c r="R20" s="5" t="str">
        <f>IF(I11="","",I11)</f>
        <v/>
      </c>
      <c r="S20" s="5"/>
      <c r="T20" s="5" t="str">
        <f>IF(J11="","",J11)</f>
        <v/>
      </c>
      <c r="U20" s="5"/>
      <c r="V20" s="5" t="str">
        <f t="shared" si="13"/>
        <v/>
      </c>
      <c r="W20" s="5" t="str">
        <f t="shared" si="14"/>
        <v/>
      </c>
      <c r="X20" s="5" t="str">
        <f t="shared" si="15"/>
        <v/>
      </c>
      <c r="Y20" s="15"/>
    </row>
    <row r="21" spans="1:25" s="9" customFormat="1" x14ac:dyDescent="0.2">
      <c r="A21" s="12">
        <v>18</v>
      </c>
      <c r="B21" s="13"/>
      <c r="C21" s="13"/>
      <c r="D21" s="13"/>
      <c r="E21" s="18"/>
      <c r="F21" s="5" t="str">
        <f t="shared" si="5"/>
        <v/>
      </c>
      <c r="G21" s="5" t="str" cm="1">
        <f t="array" ref="G21">revcomp(F21)</f>
        <v/>
      </c>
      <c r="H21" s="5"/>
      <c r="I21" s="5" t="str">
        <f t="shared" si="6"/>
        <v/>
      </c>
      <c r="J21" s="5" t="str">
        <f t="shared" si="7"/>
        <v/>
      </c>
      <c r="K21" s="5" t="str">
        <f t="shared" si="8"/>
        <v/>
      </c>
      <c r="L21" s="5" t="str">
        <f t="shared" si="9"/>
        <v/>
      </c>
      <c r="O21" s="17" t="str">
        <f t="shared" si="3"/>
        <v/>
      </c>
      <c r="P21" s="17" t="str">
        <f t="shared" si="4"/>
        <v/>
      </c>
      <c r="R21" s="5" t="str">
        <f>IF(K11="","",K11)</f>
        <v/>
      </c>
      <c r="S21" s="5"/>
      <c r="T21" s="5" t="str">
        <f>IF(L11="","",L11)</f>
        <v/>
      </c>
      <c r="U21" s="5"/>
      <c r="V21" s="5" t="str">
        <f t="shared" si="13"/>
        <v/>
      </c>
      <c r="W21" s="5" t="str">
        <f t="shared" si="14"/>
        <v/>
      </c>
      <c r="X21" s="5" t="str">
        <f t="shared" si="15"/>
        <v/>
      </c>
      <c r="Y21" s="15"/>
    </row>
    <row r="22" spans="1:25" s="9" customFormat="1" x14ac:dyDescent="0.2">
      <c r="A22" s="12">
        <v>19</v>
      </c>
      <c r="B22" s="13"/>
      <c r="C22" s="13"/>
      <c r="D22" s="13"/>
      <c r="E22" s="18"/>
      <c r="F22" s="5" t="str">
        <f t="shared" si="5"/>
        <v/>
      </c>
      <c r="G22" s="5" t="str" cm="1">
        <f t="array" ref="G22">revcomp(F22)</f>
        <v/>
      </c>
      <c r="H22" s="5"/>
      <c r="I22" s="5" t="str">
        <f t="shared" si="6"/>
        <v/>
      </c>
      <c r="J22" s="5" t="str">
        <f t="shared" si="7"/>
        <v/>
      </c>
      <c r="K22" s="5" t="str">
        <f t="shared" si="8"/>
        <v/>
      </c>
      <c r="L22" s="5" t="str">
        <f t="shared" si="9"/>
        <v/>
      </c>
      <c r="O22" s="17" t="str">
        <f t="shared" si="3"/>
        <v/>
      </c>
      <c r="P22" s="17" t="str">
        <f t="shared" si="4"/>
        <v/>
      </c>
      <c r="R22" s="5" t="str">
        <f>IF(I12="","",I12)</f>
        <v/>
      </c>
      <c r="S22" s="5"/>
      <c r="T22" s="5" t="str">
        <f>IF(J12="","",J12)</f>
        <v/>
      </c>
      <c r="U22" s="5"/>
      <c r="V22" s="5" t="str">
        <f t="shared" si="13"/>
        <v/>
      </c>
      <c r="W22" s="5" t="str">
        <f t="shared" si="14"/>
        <v/>
      </c>
      <c r="X22" s="5" t="str">
        <f t="shared" si="15"/>
        <v/>
      </c>
      <c r="Y22" s="15"/>
    </row>
    <row r="23" spans="1:25" s="9" customFormat="1" x14ac:dyDescent="0.2">
      <c r="A23" s="12">
        <v>20</v>
      </c>
      <c r="B23" s="13"/>
      <c r="C23" s="13"/>
      <c r="D23" s="13"/>
      <c r="E23" s="18"/>
      <c r="F23" s="5" t="str">
        <f t="shared" si="5"/>
        <v/>
      </c>
      <c r="G23" s="5" t="str" cm="1">
        <f t="array" ref="G23">revcomp(F23)</f>
        <v/>
      </c>
      <c r="H23" s="5"/>
      <c r="I23" s="5" t="str">
        <f t="shared" si="6"/>
        <v/>
      </c>
      <c r="J23" s="5" t="str">
        <f t="shared" si="7"/>
        <v/>
      </c>
      <c r="K23" s="5" t="str">
        <f t="shared" si="8"/>
        <v/>
      </c>
      <c r="L23" s="5" t="str">
        <f t="shared" si="9"/>
        <v/>
      </c>
      <c r="O23" s="17" t="str">
        <f t="shared" si="3"/>
        <v/>
      </c>
      <c r="P23" s="17" t="str">
        <f t="shared" si="4"/>
        <v/>
      </c>
      <c r="R23" s="5" t="str">
        <f>IF(K12="","",K12)</f>
        <v/>
      </c>
      <c r="S23" s="5"/>
      <c r="T23" s="5" t="str">
        <f>IF(L12="","",L12)</f>
        <v/>
      </c>
      <c r="U23" s="5"/>
      <c r="V23" s="5" t="str">
        <f t="shared" si="13"/>
        <v/>
      </c>
      <c r="W23" s="5" t="str">
        <f t="shared" si="14"/>
        <v/>
      </c>
      <c r="X23" s="5" t="str">
        <f t="shared" si="15"/>
        <v/>
      </c>
      <c r="Y23" s="15"/>
    </row>
    <row r="24" spans="1:25" s="9" customFormat="1" x14ac:dyDescent="0.2">
      <c r="B24" s="10"/>
      <c r="C24" s="10"/>
      <c r="D24" s="10"/>
      <c r="F24" s="8"/>
      <c r="G24" s="8"/>
      <c r="H24" s="8"/>
      <c r="I24" s="8"/>
      <c r="J24" s="8"/>
      <c r="K24" s="8"/>
      <c r="L24" s="8"/>
      <c r="O24" s="15"/>
      <c r="P24" s="15"/>
      <c r="R24" s="5" t="str">
        <f>IF(I13="","",I13)</f>
        <v/>
      </c>
      <c r="S24" s="5"/>
      <c r="T24" s="5" t="str">
        <f>IF(J13="","",J13)</f>
        <v/>
      </c>
      <c r="U24" s="5"/>
      <c r="V24" s="5" t="str">
        <f t="shared" si="13"/>
        <v/>
      </c>
      <c r="W24" s="5" t="str">
        <f t="shared" si="14"/>
        <v/>
      </c>
      <c r="X24" s="5" t="str">
        <f t="shared" si="15"/>
        <v/>
      </c>
      <c r="Y24" s="15"/>
    </row>
    <row r="25" spans="1:25" s="9" customFormat="1" x14ac:dyDescent="0.2">
      <c r="B25" s="10"/>
      <c r="C25" s="10"/>
      <c r="D25" s="10"/>
      <c r="F25" s="8"/>
      <c r="G25" s="8"/>
      <c r="H25" s="8"/>
      <c r="I25" s="8"/>
      <c r="J25" s="8"/>
      <c r="K25" s="8"/>
      <c r="L25" s="8"/>
      <c r="O25" s="15"/>
      <c r="P25" s="15"/>
      <c r="R25" s="5" t="str">
        <f>IF(K13="","",K13)</f>
        <v/>
      </c>
      <c r="S25" s="5"/>
      <c r="T25" s="5" t="str">
        <f>IF(L13="","",L13)</f>
        <v/>
      </c>
      <c r="U25" s="5"/>
      <c r="V25" s="5" t="str">
        <f t="shared" si="13"/>
        <v/>
      </c>
      <c r="W25" s="5" t="str">
        <f t="shared" si="14"/>
        <v/>
      </c>
      <c r="X25" s="5" t="str">
        <f t="shared" si="15"/>
        <v/>
      </c>
      <c r="Y25" s="15"/>
    </row>
    <row r="26" spans="1:25" x14ac:dyDescent="0.2">
      <c r="R26" s="14" t="str">
        <f>IF(I14="","",I14)</f>
        <v/>
      </c>
      <c r="S26" s="14"/>
      <c r="T26" s="14" t="str">
        <f>IF(J14="","",J14)</f>
        <v/>
      </c>
      <c r="U26" s="14"/>
      <c r="V26" s="5" t="str">
        <f t="shared" ref="V26:V39" si="16">IF(T26="","","0.025")</f>
        <v/>
      </c>
      <c r="W26" s="5" t="str">
        <f t="shared" ref="W26:W39" si="17">IF(T26="","","Desalt")</f>
        <v/>
      </c>
      <c r="X26" s="5" t="str">
        <f t="shared" ref="X26:X39" si="18">IF(T26="","","Dry")</f>
        <v/>
      </c>
    </row>
    <row r="27" spans="1:25" x14ac:dyDescent="0.2">
      <c r="R27" s="14" t="str">
        <f>IF(K14="","",K14)</f>
        <v/>
      </c>
      <c r="S27" s="14"/>
      <c r="T27" s="14" t="str">
        <f>IF(L14="","",L14)</f>
        <v/>
      </c>
      <c r="U27" s="14"/>
      <c r="V27" s="5" t="str">
        <f t="shared" si="16"/>
        <v/>
      </c>
      <c r="W27" s="5" t="str">
        <f t="shared" si="17"/>
        <v/>
      </c>
      <c r="X27" s="5" t="str">
        <f t="shared" si="18"/>
        <v/>
      </c>
    </row>
    <row r="28" spans="1:25" x14ac:dyDescent="0.2">
      <c r="R28" s="14" t="str">
        <f>IF(I15="","",I15)</f>
        <v/>
      </c>
      <c r="S28" s="14"/>
      <c r="T28" s="14" t="str">
        <f>IF(J15="","",J15)</f>
        <v/>
      </c>
      <c r="U28" s="14"/>
      <c r="V28" s="5" t="str">
        <f t="shared" si="16"/>
        <v/>
      </c>
      <c r="W28" s="5" t="str">
        <f t="shared" si="17"/>
        <v/>
      </c>
      <c r="X28" s="5" t="str">
        <f t="shared" si="18"/>
        <v/>
      </c>
    </row>
    <row r="29" spans="1:25" x14ac:dyDescent="0.2">
      <c r="R29" s="14" t="str">
        <f>IF(K15="","",K15)</f>
        <v/>
      </c>
      <c r="S29" s="14"/>
      <c r="T29" s="14" t="str">
        <f>IF(L15="","",L15)</f>
        <v/>
      </c>
      <c r="U29" s="14"/>
      <c r="V29" s="5" t="str">
        <f t="shared" si="16"/>
        <v/>
      </c>
      <c r="W29" s="5" t="str">
        <f t="shared" si="17"/>
        <v/>
      </c>
      <c r="X29" s="5" t="str">
        <f t="shared" si="18"/>
        <v/>
      </c>
    </row>
    <row r="30" spans="1:25" x14ac:dyDescent="0.2">
      <c r="R30" s="14" t="str">
        <f>IF(I16="","",I16)</f>
        <v/>
      </c>
      <c r="S30" s="14"/>
      <c r="T30" s="14" t="str">
        <f>IF(J16="","",J16)</f>
        <v/>
      </c>
      <c r="U30" s="14"/>
      <c r="V30" s="5" t="str">
        <f t="shared" si="16"/>
        <v/>
      </c>
      <c r="W30" s="5" t="str">
        <f t="shared" si="17"/>
        <v/>
      </c>
      <c r="X30" s="5" t="str">
        <f t="shared" si="18"/>
        <v/>
      </c>
    </row>
    <row r="31" spans="1:25" x14ac:dyDescent="0.2">
      <c r="R31" s="14" t="str">
        <f>IF(K16="","",K16)</f>
        <v/>
      </c>
      <c r="S31" s="14"/>
      <c r="T31" s="14" t="str">
        <f>IF(L16="","",L16)</f>
        <v/>
      </c>
      <c r="U31" s="14"/>
      <c r="V31" s="5" t="str">
        <f t="shared" si="16"/>
        <v/>
      </c>
      <c r="W31" s="5" t="str">
        <f t="shared" si="17"/>
        <v/>
      </c>
      <c r="X31" s="5" t="str">
        <f t="shared" si="18"/>
        <v/>
      </c>
    </row>
    <row r="32" spans="1:25" x14ac:dyDescent="0.2">
      <c r="R32" s="14" t="str">
        <f>IF(I17="","",I17)</f>
        <v/>
      </c>
      <c r="S32" s="14"/>
      <c r="T32" s="14" t="str">
        <f>IF(J17="","",J17)</f>
        <v/>
      </c>
      <c r="U32" s="14"/>
      <c r="V32" s="5" t="str">
        <f t="shared" si="16"/>
        <v/>
      </c>
      <c r="W32" s="5" t="str">
        <f t="shared" si="17"/>
        <v/>
      </c>
      <c r="X32" s="5" t="str">
        <f t="shared" si="18"/>
        <v/>
      </c>
    </row>
    <row r="33" spans="18:24" x14ac:dyDescent="0.2">
      <c r="R33" s="14" t="str">
        <f>IF(K17="","",K17)</f>
        <v/>
      </c>
      <c r="S33" s="14"/>
      <c r="T33" s="14" t="str">
        <f>IF(L17="","",L17)</f>
        <v/>
      </c>
      <c r="U33" s="14"/>
      <c r="V33" s="5" t="str">
        <f t="shared" si="16"/>
        <v/>
      </c>
      <c r="W33" s="5" t="str">
        <f t="shared" si="17"/>
        <v/>
      </c>
      <c r="X33" s="5" t="str">
        <f t="shared" si="18"/>
        <v/>
      </c>
    </row>
    <row r="34" spans="18:24" x14ac:dyDescent="0.2">
      <c r="R34" s="14" t="str">
        <f>IF(I18="","",I18)</f>
        <v/>
      </c>
      <c r="S34" s="14"/>
      <c r="T34" s="14" t="str">
        <f>IF(J18="","",J18)</f>
        <v/>
      </c>
      <c r="U34" s="14"/>
      <c r="V34" s="5" t="str">
        <f t="shared" si="16"/>
        <v/>
      </c>
      <c r="W34" s="5" t="str">
        <f t="shared" si="17"/>
        <v/>
      </c>
      <c r="X34" s="5" t="str">
        <f t="shared" si="18"/>
        <v/>
      </c>
    </row>
    <row r="35" spans="18:24" x14ac:dyDescent="0.2">
      <c r="R35" s="14" t="str">
        <f>IF(K18="","",K18)</f>
        <v/>
      </c>
      <c r="S35" s="14"/>
      <c r="T35" s="14" t="str">
        <f>IF(L18="","",L18)</f>
        <v/>
      </c>
      <c r="U35" s="14"/>
      <c r="V35" s="5" t="str">
        <f t="shared" si="16"/>
        <v/>
      </c>
      <c r="W35" s="5" t="str">
        <f t="shared" si="17"/>
        <v/>
      </c>
      <c r="X35" s="5" t="str">
        <f t="shared" si="18"/>
        <v/>
      </c>
    </row>
    <row r="36" spans="18:24" x14ac:dyDescent="0.2">
      <c r="R36" s="14" t="str">
        <f>IF(I19="","",I19)</f>
        <v/>
      </c>
      <c r="S36" s="14"/>
      <c r="T36" s="14" t="str">
        <f>IF(J19="","",J19)</f>
        <v/>
      </c>
      <c r="U36" s="14"/>
      <c r="V36" s="5" t="str">
        <f t="shared" si="16"/>
        <v/>
      </c>
      <c r="W36" s="5" t="str">
        <f t="shared" si="17"/>
        <v/>
      </c>
      <c r="X36" s="5" t="str">
        <f t="shared" si="18"/>
        <v/>
      </c>
    </row>
    <row r="37" spans="18:24" x14ac:dyDescent="0.2">
      <c r="R37" s="14" t="str">
        <f>IF(K19="","",K19)</f>
        <v/>
      </c>
      <c r="S37" s="14"/>
      <c r="T37" s="14" t="str">
        <f>IF(L19="","",L19)</f>
        <v/>
      </c>
      <c r="U37" s="14"/>
      <c r="V37" s="5" t="str">
        <f t="shared" si="16"/>
        <v/>
      </c>
      <c r="W37" s="5" t="str">
        <f t="shared" si="17"/>
        <v/>
      </c>
      <c r="X37" s="5" t="str">
        <f t="shared" si="18"/>
        <v/>
      </c>
    </row>
    <row r="38" spans="18:24" x14ac:dyDescent="0.2">
      <c r="R38" s="14" t="str">
        <f>IF(I20="","",I20)</f>
        <v/>
      </c>
      <c r="S38" s="14"/>
      <c r="T38" s="14" t="str">
        <f>IF(J20="","",J20)</f>
        <v/>
      </c>
      <c r="U38" s="14"/>
      <c r="V38" s="5" t="str">
        <f t="shared" si="16"/>
        <v/>
      </c>
      <c r="W38" s="5" t="str">
        <f t="shared" si="17"/>
        <v/>
      </c>
      <c r="X38" s="5" t="str">
        <f t="shared" si="18"/>
        <v/>
      </c>
    </row>
    <row r="39" spans="18:24" x14ac:dyDescent="0.2">
      <c r="R39" s="14" t="str">
        <f>IF(K20="","",K20)</f>
        <v/>
      </c>
      <c r="S39" s="14"/>
      <c r="T39" s="14" t="str">
        <f>IF(L20="","",L20)</f>
        <v/>
      </c>
      <c r="U39" s="14"/>
      <c r="V39" s="5" t="str">
        <f t="shared" si="16"/>
        <v/>
      </c>
      <c r="W39" s="5" t="str">
        <f t="shared" si="17"/>
        <v/>
      </c>
      <c r="X39" s="5" t="str">
        <f t="shared" si="18"/>
        <v/>
      </c>
    </row>
    <row r="40" spans="18:24" x14ac:dyDescent="0.2">
      <c r="R40" s="14" t="str">
        <f>IF(I21="","",I21)</f>
        <v/>
      </c>
      <c r="S40" s="14"/>
      <c r="T40" s="14" t="str">
        <f>IF(J21="","",J21)</f>
        <v/>
      </c>
      <c r="U40" s="14"/>
      <c r="V40" s="5" t="str">
        <f t="shared" ref="V40:V45" si="19">IF(T40="","","0.025")</f>
        <v/>
      </c>
      <c r="W40" s="5" t="str">
        <f t="shared" ref="W40:W45" si="20">IF(T40="","","Desalt")</f>
        <v/>
      </c>
      <c r="X40" s="5" t="str">
        <f t="shared" ref="X40:X45" si="21">IF(T40="","","Dry")</f>
        <v/>
      </c>
    </row>
    <row r="41" spans="18:24" x14ac:dyDescent="0.2">
      <c r="R41" s="14" t="str">
        <f>IF(K21="","",K21)</f>
        <v/>
      </c>
      <c r="S41" s="14"/>
      <c r="T41" s="14" t="str">
        <f>IF(L21="","",L21)</f>
        <v/>
      </c>
      <c r="U41" s="14"/>
      <c r="V41" s="5" t="str">
        <f t="shared" si="19"/>
        <v/>
      </c>
      <c r="W41" s="5" t="str">
        <f t="shared" si="20"/>
        <v/>
      </c>
      <c r="X41" s="5" t="str">
        <f t="shared" si="21"/>
        <v/>
      </c>
    </row>
    <row r="42" spans="18:24" x14ac:dyDescent="0.2">
      <c r="R42" s="14" t="str">
        <f>IF(I22="","",I22)</f>
        <v/>
      </c>
      <c r="S42" s="14"/>
      <c r="T42" s="14" t="str">
        <f>IF(J22="","",J22)</f>
        <v/>
      </c>
      <c r="U42" s="14"/>
      <c r="V42" s="5" t="str">
        <f t="shared" si="19"/>
        <v/>
      </c>
      <c r="W42" s="5" t="str">
        <f t="shared" si="20"/>
        <v/>
      </c>
      <c r="X42" s="5" t="str">
        <f t="shared" si="21"/>
        <v/>
      </c>
    </row>
    <row r="43" spans="18:24" x14ac:dyDescent="0.2">
      <c r="R43" s="14" t="str">
        <f>IF(K22="","",K22)</f>
        <v/>
      </c>
      <c r="S43" s="14"/>
      <c r="T43" s="14" t="str">
        <f>IF(L22="","",L22)</f>
        <v/>
      </c>
      <c r="U43" s="14"/>
      <c r="V43" s="5" t="str">
        <f t="shared" si="19"/>
        <v/>
      </c>
      <c r="W43" s="5" t="str">
        <f t="shared" si="20"/>
        <v/>
      </c>
      <c r="X43" s="5" t="str">
        <f t="shared" si="21"/>
        <v/>
      </c>
    </row>
    <row r="44" spans="18:24" x14ac:dyDescent="0.2">
      <c r="R44" s="14" t="str">
        <f>IF(I23="","",I23)</f>
        <v/>
      </c>
      <c r="S44" s="14"/>
      <c r="T44" s="14" t="str">
        <f>IF(J23="","",J23)</f>
        <v/>
      </c>
      <c r="U44" s="14"/>
      <c r="V44" s="5" t="str">
        <f t="shared" si="19"/>
        <v/>
      </c>
      <c r="W44" s="5" t="str">
        <f t="shared" si="20"/>
        <v/>
      </c>
      <c r="X44" s="5" t="str">
        <f t="shared" si="21"/>
        <v/>
      </c>
    </row>
    <row r="45" spans="18:24" x14ac:dyDescent="0.2">
      <c r="R45" s="14" t="str">
        <f>IF(K23="","",K23)</f>
        <v/>
      </c>
      <c r="S45" s="14"/>
      <c r="T45" s="14" t="str">
        <f>IF(L23="","",L23)</f>
        <v/>
      </c>
      <c r="U45" s="14"/>
      <c r="V45" s="5" t="str">
        <f t="shared" si="19"/>
        <v/>
      </c>
      <c r="W45" s="5" t="str">
        <f t="shared" si="20"/>
        <v/>
      </c>
      <c r="X45" s="5" t="str">
        <f t="shared" si="21"/>
        <v/>
      </c>
    </row>
    <row r="46" spans="18:24" x14ac:dyDescent="0.2">
      <c r="R46" s="8" t="str">
        <f>IF(I24="","",I24)</f>
        <v/>
      </c>
      <c r="T46" s="8" t="str">
        <f>IF(J24="","",J24)</f>
        <v/>
      </c>
    </row>
    <row r="47" spans="18:24" x14ac:dyDescent="0.2">
      <c r="R47" s="8" t="str">
        <f>IF(K24="","",K24)</f>
        <v/>
      </c>
      <c r="T47" s="8" t="str">
        <f>IF(L24="","",L24)</f>
        <v/>
      </c>
    </row>
  </sheetData>
  <sheetProtection algorithmName="SHA-512" hashValue="WunjkDoEi0QjgCuaac7KfOgTYuibke4lTQMaHLGCpW18mp9uriC4IfN1hy4m+v1F908l34VXi4twk8RvAqeBmQ==" saltValue="QZQKXY3wJzMSinsO9U0gPg==" spinCount="100000" sheet="1" objects="1" scenarios="1"/>
  <mergeCells count="11">
    <mergeCell ref="E2:E3"/>
    <mergeCell ref="E4:E5"/>
    <mergeCell ref="E6:E7"/>
    <mergeCell ref="E8:E9"/>
    <mergeCell ref="E10:E11"/>
    <mergeCell ref="E22:E23"/>
    <mergeCell ref="E12:E13"/>
    <mergeCell ref="E14:E15"/>
    <mergeCell ref="E16:E17"/>
    <mergeCell ref="E18:E19"/>
    <mergeCell ref="E20:E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2021-11-11T18:37:44Z</dcterms:created>
  <dcterms:modified xsi:type="dcterms:W3CDTF">2021-12-14T21:20:42Z</dcterms:modified>
</cp:coreProperties>
</file>